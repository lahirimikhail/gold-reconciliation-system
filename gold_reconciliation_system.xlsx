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etup" sheetId="2" state="visible" r:id="rId4"/>
    <sheet name="Rate_Sheet" sheetId="3" state="visible" r:id="rId5"/>
    <sheet name="SKU_Register" sheetId="4" state="visible" r:id="rId6"/>
    <sheet name="Karigar_Ledger" sheetId="5" state="visible" r:id="rId7"/>
    <sheet name="Sales_Register" sheetId="6" state="visible" r:id="rId8"/>
    <sheet name="Metal_Ledger" sheetId="7" state="visible" r:id="rId9"/>
    <sheet name="Daily_Recon" sheetId="8" state="visible" r:id="rId10"/>
    <sheet name="Monthly_Analysi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<sst xmlns="http://schemas.openxmlformats.org/spreadsheetml/2006/main" count="567" uniqueCount="256">
  <si>
    <t xml:space="preserve">Daily Gold Reconciliation System</t>
  </si>
  <si>
    <t xml:space="preserve">All data in this workbook is synthetic. Rates are illustrative.</t>
  </si>
  <si>
    <t xml:space="preserve">WHAT THIS SOLVES</t>
  </si>
  <si>
    <t xml:space="preserve">A retail jeweller holds the same metal in four places at once: on the shelf, with karigars (goldsmiths) being worked into finished pieces, in scrap awaiting melt, and in old gold taken in part-exchange from customers.</t>
  </si>
  <si>
    <t xml:space="preserve">Each sits at a different purity. 10 grams of 22K is not 10 grams of 24K. Adding gross weights together produces a number that means nothing, which is why shops that count in gross weight cannot tell a genuine loss from a purity mix shift.</t>
  </si>
  <si>
    <t xml:space="preserve">Every quantity here is converted to FINE GOLD before anything is added or compared. Fine gold = gross weight x purity. On that basis every figure in the workbook is directly comparable.</t>
  </si>
  <si>
    <t xml:space="preserve">THE THREE QUESTIONS IT ANSWERS EVERY DAY</t>
  </si>
  <si>
    <t xml:space="preserve">1. Does counted physical stock match the book? Variance is shown in grams fine and in rupees, against a tolerance set in Setup.</t>
  </si>
  <si>
    <t xml:space="preserve">2. Is the shop's board rate still tracking the market? A board rate left stale while spot moves means metal is sold below replacement cost on every ticket.</t>
  </si>
  <si>
    <t xml:space="preserve">3. How much making charge is being given away? List making charge versus realised, by day and by month. This is the most commonly unmeasured leak in the P&amp;L.</t>
  </si>
  <si>
    <t xml:space="preserve">SHEETS</t>
  </si>
  <si>
    <t xml:space="preserve">Setup              Purities, wastage norms by trade, variance and rate tolerances. Yellow cells are the ones to edit.</t>
  </si>
  <si>
    <t xml:space="preserve">Rate_Sheet         Daily spot, the shop's board rate, and the drift between them.</t>
  </si>
  <si>
    <t xml:space="preserve">Metal_Ledger       Opening, purchases, issues, returns, sales, old gold, closing book vs counted physical. All in grams fine.</t>
  </si>
  <si>
    <t xml:space="preserve">Karigar_Ledger     Metal out with each karigar, what came back, wastage against the norm for that trade.</t>
  </si>
  <si>
    <t xml:space="preserve">SKU_Register       Product master. Gross weight, stone weight, net gold, fine gold, and list making charge per piece.</t>
  </si>
  <si>
    <t xml:space="preserve">Sales_Register     Line-level sales. Metal value, making charge list vs realised, old gold credit, net invoice.</t>
  </si>
  <si>
    <t xml:space="preserve">Daily_Recon        The daily one-screen output. Pick a date in the yellow cell.</t>
  </si>
  <si>
    <t xml:space="preserve">Monthly_Analysis   Monthly rollup of volume, leakage, realisation and variance.</t>
  </si>
  <si>
    <t xml:space="preserve">CONVENTIONS</t>
  </si>
  <si>
    <t xml:space="preserve">Blue text = hardcoded input.  Black = formula.  Green = link to another sheet.  Yellow fill = edit this.</t>
  </si>
  <si>
    <t xml:space="preserve">Weights in grams to three decimals. Fine gold reference purity is set in Setup.</t>
  </si>
  <si>
    <t xml:space="preserve">Setup</t>
  </si>
  <si>
    <t xml:space="preserve">Yellow cells are inputs. Everything else reads from here.</t>
  </si>
  <si>
    <t xml:space="preserve">Shop reference</t>
  </si>
  <si>
    <t xml:space="preserve">Business name</t>
  </si>
  <si>
    <t xml:space="preserve">Sample Jeweller (illustrative)</t>
  </si>
  <si>
    <t xml:space="preserve">Reporting currency</t>
  </si>
  <si>
    <t xml:space="preserve">INR</t>
  </si>
  <si>
    <t xml:space="preserve">Fine gold reference purity</t>
  </si>
  <si>
    <t xml:space="preserve">Purity table</t>
  </si>
  <si>
    <t xml:space="preserve">Karat</t>
  </si>
  <si>
    <t xml:space="preserve">Purity</t>
  </si>
  <si>
    <t xml:space="preserve">24K</t>
  </si>
  <si>
    <t xml:space="preserve">22K</t>
  </si>
  <si>
    <t xml:space="preserve">18K</t>
  </si>
  <si>
    <t xml:space="preserve">14K</t>
  </si>
  <si>
    <t xml:space="preserve">Wastage norm by trade</t>
  </si>
  <si>
    <t xml:space="preserve">Fraction of fine gold issued that may be lost in working.</t>
  </si>
  <si>
    <t xml:space="preserve">Trade</t>
  </si>
  <si>
    <t xml:space="preserve">Norm %</t>
  </si>
  <si>
    <t xml:space="preserve">Chain making</t>
  </si>
  <si>
    <t xml:space="preserve">Stone setting</t>
  </si>
  <si>
    <t xml:space="preserve">Casting</t>
  </si>
  <si>
    <t xml:space="preserve">Hand finishing</t>
  </si>
  <si>
    <t xml:space="preserve">Tolerances</t>
  </si>
  <si>
    <t xml:space="preserve">Stock variance tolerance (g fine)</t>
  </si>
  <si>
    <t xml:space="preserve">Above this, the day is flagged for investigation.</t>
  </si>
  <si>
    <t xml:space="preserve">Board rate drift tolerance (₹/g fine)</t>
  </si>
  <si>
    <t xml:space="preserve">Board rate allowed to sit this far from spot before repricing.</t>
  </si>
  <si>
    <t xml:space="preserve">Making charge realisation floor</t>
  </si>
  <si>
    <t xml:space="preserve">Below this, discounting is flagged.</t>
  </si>
  <si>
    <t xml:space="preserve">Source: all values above are illustrative defaults chosen for this sample. Replace with the shop's own norms before use.</t>
  </si>
  <si>
    <t xml:space="preserve">Rate Sheet</t>
  </si>
  <si>
    <t xml:space="preserve">Spot vs the shop's own board rate. Drift is the signal to reprice.</t>
  </si>
  <si>
    <t xml:space="preserve">Date</t>
  </si>
  <si>
    <t xml:space="preserve">Month</t>
  </si>
  <si>
    <t xml:space="preserve">Spot 24K (₹/10g)</t>
  </si>
  <si>
    <t xml:space="preserve">Spot fine (₹/g)</t>
  </si>
  <si>
    <t xml:space="preserve">Board rate 22K (₹/g)</t>
  </si>
  <si>
    <t xml:space="preserve">Board implied fine (₹/g)</t>
  </si>
  <si>
    <t xml:space="preserve">Drift (₹/g fine)</t>
  </si>
  <si>
    <t xml:space="preserve">Status</t>
  </si>
  <si>
    <t xml:space="preserve">Spot and board rates are synthetic. Board rate is reset every third day on purpose, to create the drift the recon is built to catch.</t>
  </si>
  <si>
    <t xml:space="preserve">SKU Register</t>
  </si>
  <si>
    <t xml:space="preserve">Product master. Fine gold per piece is what the ledger consumes.</t>
  </si>
  <si>
    <t xml:space="preserve">SKU</t>
  </si>
  <si>
    <t xml:space="preserve">Category</t>
  </si>
  <si>
    <t xml:space="preserve">Gross wt (g)</t>
  </si>
  <si>
    <t xml:space="preserve">Stone wt (g)</t>
  </si>
  <si>
    <t xml:space="preserve">Net gold wt (g)</t>
  </si>
  <si>
    <t xml:space="preserve">Fine gold (g)</t>
  </si>
  <si>
    <t xml:space="preserve">MC basis</t>
  </si>
  <si>
    <t xml:space="preserve">MC rate</t>
  </si>
  <si>
    <t xml:space="preserve">MC list (₹)</t>
  </si>
  <si>
    <t xml:space="preserve">CH-1000</t>
  </si>
  <si>
    <t xml:space="preserve">Chain</t>
  </si>
  <si>
    <t xml:space="preserve">Per gram</t>
  </si>
  <si>
    <t xml:space="preserve">BA-1001</t>
  </si>
  <si>
    <t xml:space="preserve">Bangle</t>
  </si>
  <si>
    <t xml:space="preserve">RI-1002</t>
  </si>
  <si>
    <t xml:space="preserve">Ring</t>
  </si>
  <si>
    <t xml:space="preserve">% of metal</t>
  </si>
  <si>
    <t xml:space="preserve">NE-1003</t>
  </si>
  <si>
    <t xml:space="preserve">Necklace</t>
  </si>
  <si>
    <t xml:space="preserve">EA-1004</t>
  </si>
  <si>
    <t xml:space="preserve">Earring</t>
  </si>
  <si>
    <t xml:space="preserve">CH-1005</t>
  </si>
  <si>
    <t xml:space="preserve">BA-1006</t>
  </si>
  <si>
    <t xml:space="preserve">RI-1007</t>
  </si>
  <si>
    <t xml:space="preserve">NE-1008</t>
  </si>
  <si>
    <t xml:space="preserve">EA-1009</t>
  </si>
  <si>
    <t xml:space="preserve">CH-1010</t>
  </si>
  <si>
    <t xml:space="preserve">BA-1011</t>
  </si>
  <si>
    <t xml:space="preserve">RI-1012</t>
  </si>
  <si>
    <t xml:space="preserve">NE-1013</t>
  </si>
  <si>
    <t xml:space="preserve">EA-1014</t>
  </si>
  <si>
    <t xml:space="preserve">CH-1015</t>
  </si>
  <si>
    <t xml:space="preserve">BA-1016</t>
  </si>
  <si>
    <t xml:space="preserve">RI-1017</t>
  </si>
  <si>
    <t xml:space="preserve">Karigar Ledger</t>
  </si>
  <si>
    <t xml:space="preserve">Metal issued to goldsmiths, what returned, and wastage against the norm for the trade.</t>
  </si>
  <si>
    <t xml:space="preserve">Karigar</t>
  </si>
  <si>
    <t xml:space="preserve">Issued gross (g)</t>
  </si>
  <si>
    <t xml:space="preserve">Issued fine (g)</t>
  </si>
  <si>
    <t xml:space="preserve">Returned finished gross (g)</t>
  </si>
  <si>
    <t xml:space="preserve">Returned fine (g)</t>
  </si>
  <si>
    <t xml:space="preserve">Scrap returned fine (g)</t>
  </si>
  <si>
    <t xml:space="preserve">Wastage fine (g)</t>
  </si>
  <si>
    <t xml:space="preserve">Wastage %</t>
  </si>
  <si>
    <t xml:space="preserve">vs Norm</t>
  </si>
  <si>
    <t xml:space="preserve">K-02</t>
  </si>
  <si>
    <t xml:space="preserve">K-04</t>
  </si>
  <si>
    <t xml:space="preserve">K-05</t>
  </si>
  <si>
    <t xml:space="preserve">K-01</t>
  </si>
  <si>
    <t xml:space="preserve">K-03</t>
  </si>
  <si>
    <t xml:space="preserve">Sales Register</t>
  </si>
  <si>
    <t xml:space="preserve">Line-level sales. Making charge list vs realised is the leakage measure.</t>
  </si>
  <si>
    <t xml:space="preserve">Invoice</t>
  </si>
  <si>
    <t xml:space="preserve">Qty</t>
  </si>
  <si>
    <t xml:space="preserve">Rate applied (₹/g fine)</t>
  </si>
  <si>
    <t xml:space="preserve">Metal value (₹)</t>
  </si>
  <si>
    <t xml:space="preserve">Discount %</t>
  </si>
  <si>
    <t xml:space="preserve">MC realised (₹)</t>
  </si>
  <si>
    <t xml:space="preserve">MC given away (₹)</t>
  </si>
  <si>
    <t xml:space="preserve">Old gold in fine (g)</t>
  </si>
  <si>
    <t xml:space="preserve">Old gold credit (₹)</t>
  </si>
  <si>
    <t xml:space="preserve">Net invoice (₹)</t>
  </si>
  <si>
    <t xml:space="preserve">INV-4101</t>
  </si>
  <si>
    <t xml:space="preserve">INV-4102</t>
  </si>
  <si>
    <t xml:space="preserve">INV-4103</t>
  </si>
  <si>
    <t xml:space="preserve">INV-4104</t>
  </si>
  <si>
    <t xml:space="preserve">INV-4105</t>
  </si>
  <si>
    <t xml:space="preserve">INV-4106</t>
  </si>
  <si>
    <t xml:space="preserve">INV-4107</t>
  </si>
  <si>
    <t xml:space="preserve">INV-4108</t>
  </si>
  <si>
    <t xml:space="preserve">INV-4109</t>
  </si>
  <si>
    <t xml:space="preserve">INV-4110</t>
  </si>
  <si>
    <t xml:space="preserve">INV-4111</t>
  </si>
  <si>
    <t xml:space="preserve">INV-4112</t>
  </si>
  <si>
    <t xml:space="preserve">INV-4113</t>
  </si>
  <si>
    <t xml:space="preserve">INV-4114</t>
  </si>
  <si>
    <t xml:space="preserve">INV-4115</t>
  </si>
  <si>
    <t xml:space="preserve">INV-4116</t>
  </si>
  <si>
    <t xml:space="preserve">INV-4117</t>
  </si>
  <si>
    <t xml:space="preserve">INV-4118</t>
  </si>
  <si>
    <t xml:space="preserve">INV-4119</t>
  </si>
  <si>
    <t xml:space="preserve">INV-4120</t>
  </si>
  <si>
    <t xml:space="preserve">INV-4121</t>
  </si>
  <si>
    <t xml:space="preserve">INV-4122</t>
  </si>
  <si>
    <t xml:space="preserve">INV-4123</t>
  </si>
  <si>
    <t xml:space="preserve">INV-4124</t>
  </si>
  <si>
    <t xml:space="preserve">INV-4125</t>
  </si>
  <si>
    <t xml:space="preserve">INV-4126</t>
  </si>
  <si>
    <t xml:space="preserve">INV-4127</t>
  </si>
  <si>
    <t xml:space="preserve">INV-4128</t>
  </si>
  <si>
    <t xml:space="preserve">INV-4129</t>
  </si>
  <si>
    <t xml:space="preserve">INV-4130</t>
  </si>
  <si>
    <t xml:space="preserve">INV-4131</t>
  </si>
  <si>
    <t xml:space="preserve">INV-4132</t>
  </si>
  <si>
    <t xml:space="preserve">INV-4133</t>
  </si>
  <si>
    <t xml:space="preserve">INV-4134</t>
  </si>
  <si>
    <t xml:space="preserve">INV-4135</t>
  </si>
  <si>
    <t xml:space="preserve">INV-4136</t>
  </si>
  <si>
    <t xml:space="preserve">INV-4137</t>
  </si>
  <si>
    <t xml:space="preserve">INV-4138</t>
  </si>
  <si>
    <t xml:space="preserve">INV-4139</t>
  </si>
  <si>
    <t xml:space="preserve">INV-4140</t>
  </si>
  <si>
    <t xml:space="preserve">INV-4141</t>
  </si>
  <si>
    <t xml:space="preserve">INV-4142</t>
  </si>
  <si>
    <t xml:space="preserve">INV-4143</t>
  </si>
  <si>
    <t xml:space="preserve">INV-4144</t>
  </si>
  <si>
    <t xml:space="preserve">INV-4145</t>
  </si>
  <si>
    <t xml:space="preserve">INV-4146</t>
  </si>
  <si>
    <t xml:space="preserve">INV-4147</t>
  </si>
  <si>
    <t xml:space="preserve">INV-4148</t>
  </si>
  <si>
    <t xml:space="preserve">INV-4149</t>
  </si>
  <si>
    <t xml:space="preserve">INV-4150</t>
  </si>
  <si>
    <t xml:space="preserve">INV-4151</t>
  </si>
  <si>
    <t xml:space="preserve">INV-4152</t>
  </si>
  <si>
    <t xml:space="preserve">INV-4153</t>
  </si>
  <si>
    <t xml:space="preserve">INV-4154</t>
  </si>
  <si>
    <t xml:space="preserve">INV-4155</t>
  </si>
  <si>
    <t xml:space="preserve">INV-4156</t>
  </si>
  <si>
    <t xml:space="preserve">INV-4157</t>
  </si>
  <si>
    <t xml:space="preserve">INV-4158</t>
  </si>
  <si>
    <t xml:space="preserve">INV-4159</t>
  </si>
  <si>
    <t xml:space="preserve">INV-4160</t>
  </si>
  <si>
    <t xml:space="preserve">INV-4161</t>
  </si>
  <si>
    <t xml:space="preserve">INV-4162</t>
  </si>
  <si>
    <t xml:space="preserve">INV-4163</t>
  </si>
  <si>
    <t xml:space="preserve">INV-4164</t>
  </si>
  <si>
    <t xml:space="preserve">INV-4165</t>
  </si>
  <si>
    <t xml:space="preserve">INV-4166</t>
  </si>
  <si>
    <t xml:space="preserve">INV-4167</t>
  </si>
  <si>
    <t xml:space="preserve">INV-4168</t>
  </si>
  <si>
    <t xml:space="preserve">TOTAL</t>
  </si>
  <si>
    <t xml:space="preserve">Metal Ledger</t>
  </si>
  <si>
    <t xml:space="preserve">Everything on a fine gold basis, so shelf, karigar and scrap metal are comparable.</t>
  </si>
  <si>
    <t xml:space="preserve">Opening book (g fine)</t>
  </si>
  <si>
    <t xml:space="preserve">Purchases (g fine)</t>
  </si>
  <si>
    <t xml:space="preserve">Issued to karigar (g fine)</t>
  </si>
  <si>
    <t xml:space="preserve">Received from karigar (g fine)</t>
  </si>
  <si>
    <t xml:space="preserve">Sold (g fine)</t>
  </si>
  <si>
    <t xml:space="preserve">Old gold taken in (g fine)</t>
  </si>
  <si>
    <t xml:space="preserve">Closing book (g fine)</t>
  </si>
  <si>
    <t xml:space="preserve">Physical counted (g fine)</t>
  </si>
  <si>
    <t xml:space="preserve">Variance (g fine)</t>
  </si>
  <si>
    <t xml:space="preserve">Variance (₹)</t>
  </si>
  <si>
    <t xml:space="preserve">Tolerance (g)</t>
  </si>
  <si>
    <t xml:space="preserve">Issues, returns, sales and old gold all pull from their source sheets by SUMIFS on date, so the ledger cannot drift from the registers.</t>
  </si>
  <si>
    <t xml:space="preserve">Daily Reconciliation</t>
  </si>
  <si>
    <t xml:space="preserve">Change the date in the yellow cell. Everything recalculates.</t>
  </si>
  <si>
    <t xml:space="preserve">Reporting date</t>
  </si>
  <si>
    <t xml:space="preserve">1.  STOCK POSITION</t>
  </si>
  <si>
    <t xml:space="preserve">Physical minus book. Negative means metal is missing.</t>
  </si>
  <si>
    <t xml:space="preserve">Variance at today's spot (₹)</t>
  </si>
  <si>
    <t xml:space="preserve">Tolerance (g fine)</t>
  </si>
  <si>
    <t xml:space="preserve">Verdict</t>
  </si>
  <si>
    <t xml:space="preserve">2.  METAL OUT WITH KARIGARS</t>
  </si>
  <si>
    <t xml:space="preserve">Issued today (g fine)</t>
  </si>
  <si>
    <t xml:space="preserve">Returned today, finished + scrap (g fine)</t>
  </si>
  <si>
    <t xml:space="preserve">Wastage today (g fine)</t>
  </si>
  <si>
    <t xml:space="preserve">Cumulative out with karigars to date (g fine)</t>
  </si>
  <si>
    <t xml:space="preserve">Unreturned metal. This is the shop's real exposure to its karigars.</t>
  </si>
  <si>
    <t xml:space="preserve">Lines over wastage norm today</t>
  </si>
  <si>
    <t xml:space="preserve">3.  RATE POSITION</t>
  </si>
  <si>
    <t xml:space="preserve">Board rate implied fine (₹/g)</t>
  </si>
  <si>
    <t xml:space="preserve">Board minus spot. Negative means selling below replacement cost.</t>
  </si>
  <si>
    <t xml:space="preserve">Fine gold sold today (g)</t>
  </si>
  <si>
    <t xml:space="preserve">Cost of the drift today (₹)</t>
  </si>
  <si>
    <t xml:space="preserve">Grams sold multiplied by the per-gram gap. Lost on today's tickets.</t>
  </si>
  <si>
    <t xml:space="preserve">4.  MAKING CHARGE LEAKAGE</t>
  </si>
  <si>
    <t xml:space="preserve">MC list today (₹)</t>
  </si>
  <si>
    <t xml:space="preserve">MC realised today (₹)</t>
  </si>
  <si>
    <t xml:space="preserve">MC given away today (₹)</t>
  </si>
  <si>
    <t xml:space="preserve">Pure margin handed over at the counter.</t>
  </si>
  <si>
    <t xml:space="preserve">Realisation %</t>
  </si>
  <si>
    <t xml:space="preserve">Floor</t>
  </si>
  <si>
    <t xml:space="preserve">5.  DAY SUMMARY</t>
  </si>
  <si>
    <t xml:space="preserve">Invoices today</t>
  </si>
  <si>
    <t xml:space="preserve">Net invoiced value (₹)</t>
  </si>
  <si>
    <t xml:space="preserve">Metal value billed (₹)</t>
  </si>
  <si>
    <t xml:space="preserve">Old gold credited (₹)</t>
  </si>
  <si>
    <t xml:space="preserve">Monthly Analysis</t>
  </si>
  <si>
    <t xml:space="preserve">Rollup by month. Leakage and variance are the two to watch.</t>
  </si>
  <si>
    <t xml:space="preserve">Invoices</t>
  </si>
  <si>
    <t xml:space="preserve">Fine gold sold (g)</t>
  </si>
  <si>
    <t xml:space="preserve">Net invoiced (₹)</t>
  </si>
  <si>
    <t xml:space="preserve">Gross variance (g fine)</t>
  </si>
  <si>
    <t xml:space="preserve">Days over tolerance</t>
  </si>
  <si>
    <t xml:space="preserve">Karigar wastage (g fine)</t>
  </si>
  <si>
    <t xml:space="preserve">Lines over norm</t>
  </si>
  <si>
    <t xml:space="preserve">2026-10</t>
  </si>
  <si>
    <t xml:space="preserve">Wastage by karigar, whole period</t>
  </si>
  <si>
    <t xml:space="preserve">Wastage % is measured on fine gold issued, not gross weight. On a gross basis a karat mix shift looks identical to a loss.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</si>
</sst>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"/>
    <numFmt numFmtId="166" formatCode="0.0%"/>
    <numFmt numFmtId="167" formatCode="#,##0.000;\(#,##0.000\);\-"/>
    <numFmt numFmtId="168" formatCode="\₹#,##0.00;&quot;(₹&quot;#,##0.00\);\-"/>
    <numFmt numFmtId="169" formatCode="dd\-mmm\-yy"/>
    <numFmt numFmtId="170" formatCode="\₹#,##0;&quot;(₹&quot;#,##0\);\-"/>
    <numFmt numFmtId="171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5" customFormat="false" ht="15" hidden="false" customHeight="false" outlineLevel="0" collapsed="false">
      <c r="A5" s="3" t="s">
        <v>2</v>
      </c>
    </row>
    <row r="6" customFormat="false" ht="27.75" hidden="false" customHeight="true" outlineLevel="0" collapsed="false">
      <c r="A6" s="4" t="s">
        <v>3</v>
      </c>
    </row>
    <row r="7" customFormat="false" ht="27.75" hidden="false" customHeight="true" outlineLevel="0" collapsed="false">
      <c r="A7" s="4" t="s">
        <v>4</v>
      </c>
    </row>
    <row r="8" customFormat="false" ht="27.75" hidden="false" customHeight="true" outlineLevel="0" collapsed="false">
      <c r="A8" s="4" t="s">
        <v>5</v>
      </c>
    </row>
    <row r="10" customFormat="false" ht="15" hidden="false" customHeight="false" outlineLevel="0" collapsed="false">
      <c r="A10" s="3" t="s">
        <v>6</v>
      </c>
    </row>
    <row r="11" customFormat="false" ht="27.75" hidden="false" customHeight="true" outlineLevel="0" collapsed="false">
      <c r="A11" s="4" t="s">
        <v>7</v>
      </c>
    </row>
    <row r="12" customFormat="false" ht="27.75" hidden="false" customHeight="true" outlineLevel="0" collapsed="false">
      <c r="A12" s="4" t="s">
        <v>8</v>
      </c>
    </row>
    <row r="13" customFormat="false" ht="27.75" hidden="false" customHeight="true" outlineLevel="0" collapsed="false">
      <c r="A13" s="4" t="s">
        <v>9</v>
      </c>
    </row>
    <row r="15" customFormat="false" ht="15" hidden="false" customHeight="false" outlineLevel="0" collapsed="false">
      <c r="A15" s="3" t="s">
        <v>10</v>
      </c>
    </row>
    <row r="16" customFormat="false" ht="27.75" hidden="false" customHeight="true" outlineLevel="0" collapsed="false">
      <c r="A16" s="4" t="s">
        <v>11</v>
      </c>
    </row>
    <row r="17" customFormat="false" ht="13.5" hidden="false" customHeight="true" outlineLevel="0" collapsed="false">
      <c r="A17" s="4" t="s">
        <v>12</v>
      </c>
    </row>
    <row r="18" customFormat="false" ht="27.75" hidden="false" customHeight="true" outlineLevel="0" collapsed="false">
      <c r="A18" s="4" t="s">
        <v>13</v>
      </c>
    </row>
    <row r="19" customFormat="false" ht="27.75" hidden="false" customHeight="true" outlineLevel="0" collapsed="false">
      <c r="A19" s="4" t="s">
        <v>14</v>
      </c>
    </row>
    <row r="20" customFormat="false" ht="27.75" hidden="false" customHeight="true" outlineLevel="0" collapsed="false">
      <c r="A20" s="4" t="s">
        <v>15</v>
      </c>
    </row>
    <row r="21" customFormat="false" ht="27.75" hidden="false" customHeight="true" outlineLevel="0" collapsed="false">
      <c r="A21" s="4" t="s">
        <v>16</v>
      </c>
    </row>
    <row r="22" customFormat="false" ht="13.5" hidden="false" customHeight="true" outlineLevel="0" collapsed="false">
      <c r="A22" s="4" t="s">
        <v>17</v>
      </c>
    </row>
    <row r="23" customFormat="false" ht="13.5" hidden="false" customHeight="true" outlineLevel="0" collapsed="false">
      <c r="A23" s="4" t="s">
        <v>18</v>
      </c>
    </row>
    <row r="25" customFormat="false" ht="15" hidden="false" customHeight="false" outlineLevel="0" collapsed="false">
      <c r="A25" s="3" t="s">
        <v>19</v>
      </c>
    </row>
    <row r="26" customFormat="false" ht="27.75" hidden="false" customHeight="true" outlineLevel="0" collapsed="false">
      <c r="A26" s="4" t="s">
        <v>20</v>
      </c>
    </row>
    <row r="27" customFormat="false" ht="13.5" hidden="false" customHeight="true" outlineLevel="0" collapsed="false">
      <c r="A27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4" customFormat="false" ht="15" hidden="false" customHeight="false" outlineLevel="0" collapsed="false">
      <c r="A4" s="3" t="s">
        <v>24</v>
      </c>
    </row>
    <row r="5" customFormat="false" ht="15" hidden="false" customHeight="false" outlineLevel="0" collapsed="false">
      <c r="A5" s="5" t="s">
        <v>25</v>
      </c>
      <c r="B5" s="6" t="s">
        <v>26</v>
      </c>
    </row>
    <row r="6" customFormat="false" ht="15" hidden="false" customHeight="false" outlineLevel="0" collapsed="false">
      <c r="A6" s="5" t="s">
        <v>27</v>
      </c>
      <c r="B6" s="6" t="s">
        <v>28</v>
      </c>
    </row>
    <row r="7" customFormat="false" ht="15" hidden="false" customHeight="false" outlineLevel="0" collapsed="false">
      <c r="A7" s="5" t="s">
        <v>29</v>
      </c>
      <c r="B7" s="7" t="n">
        <v>0.995</v>
      </c>
    </row>
    <row r="9" customFormat="false" ht="15" hidden="false" customHeight="false" outlineLevel="0" collapsed="false">
      <c r="A9" s="3" t="s">
        <v>30</v>
      </c>
    </row>
    <row r="10" customFormat="false" ht="30" hidden="false" customHeight="true" outlineLevel="0" collapsed="false">
      <c r="A10" s="8" t="s">
        <v>31</v>
      </c>
      <c r="B10" s="8" t="s">
        <v>32</v>
      </c>
      <c r="C10" s="8"/>
      <c r="D10" s="8"/>
    </row>
    <row r="11" customFormat="false" ht="15" hidden="false" customHeight="false" outlineLevel="0" collapsed="false">
      <c r="A11" s="5" t="s">
        <v>33</v>
      </c>
      <c r="B11" s="7" t="n">
        <v>0.995</v>
      </c>
    </row>
    <row r="12" customFormat="false" ht="15" hidden="false" customHeight="false" outlineLevel="0" collapsed="false">
      <c r="A12" s="5" t="s">
        <v>34</v>
      </c>
      <c r="B12" s="7" t="n">
        <v>0.916</v>
      </c>
    </row>
    <row r="13" customFormat="false" ht="15" hidden="false" customHeight="false" outlineLevel="0" collapsed="false">
      <c r="A13" s="5" t="s">
        <v>35</v>
      </c>
      <c r="B13" s="7" t="n">
        <v>0.75</v>
      </c>
    </row>
    <row r="14" customFormat="false" ht="15" hidden="false" customHeight="false" outlineLevel="0" collapsed="false">
      <c r="A14" s="5" t="s">
        <v>36</v>
      </c>
      <c r="B14" s="7" t="n">
        <v>0.585</v>
      </c>
    </row>
    <row r="17" customFormat="false" ht="15" hidden="false" customHeight="false" outlineLevel="0" collapsed="false">
      <c r="A17" s="3" t="s">
        <v>37</v>
      </c>
      <c r="D17" s="2" t="s">
        <v>38</v>
      </c>
    </row>
    <row r="18" customFormat="false" ht="30" hidden="false" customHeight="true" outlineLevel="0" collapsed="false">
      <c r="A18" s="8" t="s">
        <v>39</v>
      </c>
      <c r="B18" s="8" t="s">
        <v>40</v>
      </c>
      <c r="C18" s="8"/>
      <c r="D18" s="8"/>
    </row>
    <row r="19" customFormat="false" ht="15" hidden="false" customHeight="false" outlineLevel="0" collapsed="false">
      <c r="A19" s="5" t="s">
        <v>41</v>
      </c>
      <c r="B19" s="9" t="n">
        <v>0.018</v>
      </c>
    </row>
    <row r="20" customFormat="false" ht="15" hidden="false" customHeight="false" outlineLevel="0" collapsed="false">
      <c r="A20" s="5" t="s">
        <v>42</v>
      </c>
      <c r="B20" s="9" t="n">
        <v>0.035</v>
      </c>
    </row>
    <row r="21" customFormat="false" ht="15" hidden="false" customHeight="false" outlineLevel="0" collapsed="false">
      <c r="A21" s="5" t="s">
        <v>43</v>
      </c>
      <c r="B21" s="9" t="n">
        <v>0.025</v>
      </c>
    </row>
    <row r="22" customFormat="false" ht="15" hidden="false" customHeight="false" outlineLevel="0" collapsed="false">
      <c r="A22" s="5" t="s">
        <v>44</v>
      </c>
      <c r="B22" s="9" t="n">
        <v>0.028</v>
      </c>
    </row>
    <row r="24" customFormat="false" ht="15" hidden="false" customHeight="false" outlineLevel="0" collapsed="false">
      <c r="A24" s="3" t="s">
        <v>45</v>
      </c>
    </row>
    <row r="25" customFormat="false" ht="15" hidden="false" customHeight="false" outlineLevel="0" collapsed="false">
      <c r="A25" s="5" t="s">
        <v>46</v>
      </c>
      <c r="B25" s="10" t="n">
        <v>2</v>
      </c>
      <c r="D25" s="2" t="s">
        <v>47</v>
      </c>
    </row>
    <row r="26" customFormat="false" ht="15" hidden="false" customHeight="false" outlineLevel="0" collapsed="false">
      <c r="A26" s="5" t="s">
        <v>48</v>
      </c>
      <c r="B26" s="11" t="n">
        <v>150</v>
      </c>
      <c r="D26" s="2" t="s">
        <v>49</v>
      </c>
    </row>
    <row r="27" customFormat="false" ht="15" hidden="false" customHeight="false" outlineLevel="0" collapsed="false">
      <c r="A27" s="5" t="s">
        <v>50</v>
      </c>
      <c r="B27" s="9" t="n">
        <v>0.85</v>
      </c>
      <c r="D27" s="2" t="s">
        <v>51</v>
      </c>
    </row>
    <row r="30" customFormat="false" ht="15" hidden="false" customHeight="false" outlineLevel="0" collapsed="false">
      <c r="A30" s="2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15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30" hidden="false" customHeight="true" outlineLevel="0" collapsed="false">
      <c r="A4" s="8" t="s">
        <v>55</v>
      </c>
      <c r="B4" s="8" t="s">
        <v>56</v>
      </c>
      <c r="C4" s="8" t="s">
        <v>57</v>
      </c>
      <c r="D4" s="8" t="s">
        <v>58</v>
      </c>
      <c r="E4" s="8" t="s">
        <v>59</v>
      </c>
      <c r="F4" s="8" t="s">
        <v>60</v>
      </c>
      <c r="G4" s="8" t="s">
        <v>61</v>
      </c>
      <c r="H4" s="8" t="s">
        <v>62</v>
      </c>
    </row>
    <row r="5" customFormat="false" ht="15" hidden="false" customHeight="false" outlineLevel="0" collapsed="false">
      <c r="A5" s="12" t="n">
        <v>46296</v>
      </c>
      <c r="B5" s="13" t="str">
        <f aca="false">TEXT(A5,"YYYY-MM")</f>
        <v>2026-10</v>
      </c>
      <c r="C5" s="14" t="n">
        <v>91978</v>
      </c>
      <c r="D5" s="15" t="n">
        <f aca="false">C5/10</f>
        <v>9197.8</v>
      </c>
      <c r="E5" s="16" t="n">
        <v>8445.35</v>
      </c>
      <c r="F5" s="15" t="n">
        <f aca="false">E5/INDEX(Setup!$B$11:$B$14,MATCH("22K",Setup!$A$11:$A$14,0))</f>
        <v>9219.81441048035</v>
      </c>
      <c r="G5" s="15" t="n">
        <f aca="false">F5-D5</f>
        <v>22.0144104803494</v>
      </c>
      <c r="H5" s="13" t="str">
        <f aca="false">IF(ABS(G5)&gt;Setup!$B$26,IF(G5&lt;0,"REPRICE UP","REPRICE DOWN"),"OK")</f>
        <v>OK</v>
      </c>
    </row>
    <row r="6" customFormat="false" ht="15" hidden="false" customHeight="false" outlineLevel="0" collapsed="false">
      <c r="A6" s="12" t="n">
        <v>46297</v>
      </c>
      <c r="B6" s="13" t="str">
        <f aca="false">TEXT(A6,"YYYY-MM")</f>
        <v>2026-10</v>
      </c>
      <c r="C6" s="14" t="n">
        <v>93487</v>
      </c>
      <c r="D6" s="15" t="n">
        <f aca="false">C6/10</f>
        <v>9348.7</v>
      </c>
      <c r="E6" s="16" t="n">
        <v>8445.35</v>
      </c>
      <c r="F6" s="15" t="n">
        <f aca="false">E6/INDEX(Setup!$B$11:$B$14,MATCH("22K",Setup!$A$11:$A$14,0))</f>
        <v>9219.81441048035</v>
      </c>
      <c r="G6" s="15" t="n">
        <f aca="false">F6-D6</f>
        <v>-128.885589519652</v>
      </c>
      <c r="H6" s="13" t="str">
        <f aca="false">IF(ABS(G6)&gt;Setup!$B$26,IF(G6&lt;0,"REPRICE UP","REPRICE DOWN"),"OK")</f>
        <v>OK</v>
      </c>
    </row>
    <row r="7" customFormat="false" ht="15" hidden="false" customHeight="false" outlineLevel="0" collapsed="false">
      <c r="A7" s="12" t="n">
        <v>46298</v>
      </c>
      <c r="B7" s="13" t="str">
        <f aca="false">TEXT(A7,"YYYY-MM")</f>
        <v>2026-10</v>
      </c>
      <c r="C7" s="14" t="n">
        <v>94054</v>
      </c>
      <c r="D7" s="15" t="n">
        <f aca="false">C7/10</f>
        <v>9405.4</v>
      </c>
      <c r="E7" s="16" t="n">
        <v>8445.35</v>
      </c>
      <c r="F7" s="15" t="n">
        <f aca="false">E7/INDEX(Setup!$B$11:$B$14,MATCH("22K",Setup!$A$11:$A$14,0))</f>
        <v>9219.81441048035</v>
      </c>
      <c r="G7" s="15" t="n">
        <f aca="false">F7-D7</f>
        <v>-185.585589519651</v>
      </c>
      <c r="H7" s="13" t="str">
        <f aca="false">IF(ABS(G7)&gt;Setup!$B$26,IF(G7&lt;0,"REPRICE UP","REPRICE DOWN"),"OK")</f>
        <v>REPRICE UP</v>
      </c>
    </row>
    <row r="8" customFormat="false" ht="15" hidden="false" customHeight="false" outlineLevel="0" collapsed="false">
      <c r="A8" s="12" t="n">
        <v>46300</v>
      </c>
      <c r="B8" s="13" t="str">
        <f aca="false">TEXT(A8,"YYYY-MM")</f>
        <v>2026-10</v>
      </c>
      <c r="C8" s="14" t="n">
        <v>94227</v>
      </c>
      <c r="D8" s="15" t="n">
        <f aca="false">C8/10</f>
        <v>9422.7</v>
      </c>
      <c r="E8" s="16" t="n">
        <v>8445.35</v>
      </c>
      <c r="F8" s="15" t="n">
        <f aca="false">E8/INDEX(Setup!$B$11:$B$14,MATCH("22K",Setup!$A$11:$A$14,0))</f>
        <v>9219.81441048035</v>
      </c>
      <c r="G8" s="15" t="n">
        <f aca="false">F8-D8</f>
        <v>-202.885589519652</v>
      </c>
      <c r="H8" s="13" t="str">
        <f aca="false">IF(ABS(G8)&gt;Setup!$B$26,IF(G8&lt;0,"REPRICE UP","REPRICE DOWN"),"OK")</f>
        <v>REPRICE UP</v>
      </c>
    </row>
    <row r="9" customFormat="false" ht="15" hidden="false" customHeight="false" outlineLevel="0" collapsed="false">
      <c r="A9" s="12" t="n">
        <v>46301</v>
      </c>
      <c r="B9" s="13" t="str">
        <f aca="false">TEXT(A9,"YYYY-MM")</f>
        <v>2026-10</v>
      </c>
      <c r="C9" s="14" t="n">
        <v>95178</v>
      </c>
      <c r="D9" s="15" t="n">
        <f aca="false">C9/10</f>
        <v>9517.8</v>
      </c>
      <c r="E9" s="16" t="n">
        <v>8721.2</v>
      </c>
      <c r="F9" s="15" t="n">
        <f aca="false">E9/INDEX(Setup!$B$11:$B$14,MATCH("22K",Setup!$A$11:$A$14,0))</f>
        <v>9520.96069868996</v>
      </c>
      <c r="G9" s="15" t="n">
        <f aca="false">F9-D9</f>
        <v>3.16069868995692</v>
      </c>
      <c r="H9" s="13" t="str">
        <f aca="false">IF(ABS(G9)&gt;Setup!$B$26,IF(G9&lt;0,"REPRICE UP","REPRICE DOWN"),"OK")</f>
        <v>OK</v>
      </c>
    </row>
    <row r="10" customFormat="false" ht="15" hidden="false" customHeight="false" outlineLevel="0" collapsed="false">
      <c r="A10" s="12" t="n">
        <v>46302</v>
      </c>
      <c r="B10" s="13" t="str">
        <f aca="false">TEXT(A10,"YYYY-MM")</f>
        <v>2026-10</v>
      </c>
      <c r="C10" s="14" t="n">
        <v>96205</v>
      </c>
      <c r="D10" s="15" t="n">
        <f aca="false">C10/10</f>
        <v>9620.5</v>
      </c>
      <c r="E10" s="16" t="n">
        <v>8721.2</v>
      </c>
      <c r="F10" s="15" t="n">
        <f aca="false">E10/INDEX(Setup!$B$11:$B$14,MATCH("22K",Setup!$A$11:$A$14,0))</f>
        <v>9520.96069868996</v>
      </c>
      <c r="G10" s="15" t="n">
        <f aca="false">F10-D10</f>
        <v>-99.5393013100438</v>
      </c>
      <c r="H10" s="13" t="str">
        <f aca="false">IF(ABS(G10)&gt;Setup!$B$26,IF(G10&lt;0,"REPRICE UP","REPRICE DOWN"),"OK")</f>
        <v>OK</v>
      </c>
    </row>
    <row r="11" customFormat="false" ht="15" hidden="false" customHeight="false" outlineLevel="0" collapsed="false">
      <c r="A11" s="12" t="n">
        <v>46303</v>
      </c>
      <c r="B11" s="13" t="str">
        <f aca="false">TEXT(A11,"YYYY-MM")</f>
        <v>2026-10</v>
      </c>
      <c r="C11" s="14" t="n">
        <v>96762</v>
      </c>
      <c r="D11" s="15" t="n">
        <f aca="false">C11/10</f>
        <v>9676.2</v>
      </c>
      <c r="E11" s="16" t="n">
        <v>8721.2</v>
      </c>
      <c r="F11" s="15" t="n">
        <f aca="false">E11/INDEX(Setup!$B$11:$B$14,MATCH("22K",Setup!$A$11:$A$14,0))</f>
        <v>9520.96069868996</v>
      </c>
      <c r="G11" s="15" t="n">
        <f aca="false">F11-D11</f>
        <v>-155.239301310045</v>
      </c>
      <c r="H11" s="13" t="str">
        <f aca="false">IF(ABS(G11)&gt;Setup!$B$26,IF(G11&lt;0,"REPRICE UP","REPRICE DOWN"),"OK")</f>
        <v>REPRICE UP</v>
      </c>
    </row>
    <row r="12" customFormat="false" ht="15" hidden="false" customHeight="false" outlineLevel="0" collapsed="false">
      <c r="A12" s="12" t="n">
        <v>46304</v>
      </c>
      <c r="B12" s="13" t="str">
        <f aca="false">TEXT(A12,"YYYY-MM")</f>
        <v>2026-10</v>
      </c>
      <c r="C12" s="14" t="n">
        <v>97644</v>
      </c>
      <c r="D12" s="15" t="n">
        <f aca="false">C12/10</f>
        <v>9764.4</v>
      </c>
      <c r="E12" s="16" t="n">
        <v>8721.2</v>
      </c>
      <c r="F12" s="15" t="n">
        <f aca="false">E12/INDEX(Setup!$B$11:$B$14,MATCH("22K",Setup!$A$11:$A$14,0))</f>
        <v>9520.96069868996</v>
      </c>
      <c r="G12" s="15" t="n">
        <f aca="false">F12-D12</f>
        <v>-243.439301310043</v>
      </c>
      <c r="H12" s="13" t="str">
        <f aca="false">IF(ABS(G12)&gt;Setup!$B$26,IF(G12&lt;0,"REPRICE UP","REPRICE DOWN"),"OK")</f>
        <v>REPRICE UP</v>
      </c>
    </row>
    <row r="13" customFormat="false" ht="15" hidden="false" customHeight="false" outlineLevel="0" collapsed="false">
      <c r="A13" s="12" t="n">
        <v>46305</v>
      </c>
      <c r="B13" s="13" t="str">
        <f aca="false">TEXT(A13,"YYYY-MM")</f>
        <v>2026-10</v>
      </c>
      <c r="C13" s="14" t="n">
        <v>96579</v>
      </c>
      <c r="D13" s="15" t="n">
        <f aca="false">C13/10</f>
        <v>9657.9</v>
      </c>
      <c r="E13" s="16" t="n">
        <v>8861.78</v>
      </c>
      <c r="F13" s="15" t="n">
        <f aca="false">E13/INDEX(Setup!$B$11:$B$14,MATCH("22K",Setup!$A$11:$A$14,0))</f>
        <v>9674.43231441048</v>
      </c>
      <c r="G13" s="15" t="n">
        <f aca="false">F13-D13</f>
        <v>16.5323144104805</v>
      </c>
      <c r="H13" s="13" t="str">
        <f aca="false">IF(ABS(G13)&gt;Setup!$B$26,IF(G13&lt;0,"REPRICE UP","REPRICE DOWN"),"OK")</f>
        <v>OK</v>
      </c>
    </row>
    <row r="14" customFormat="false" ht="15" hidden="false" customHeight="false" outlineLevel="0" collapsed="false">
      <c r="A14" s="12" t="n">
        <v>46307</v>
      </c>
      <c r="B14" s="13" t="str">
        <f aca="false">TEXT(A14,"YYYY-MM")</f>
        <v>2026-10</v>
      </c>
      <c r="C14" s="14" t="n">
        <v>96123</v>
      </c>
      <c r="D14" s="15" t="n">
        <f aca="false">C14/10</f>
        <v>9612.3</v>
      </c>
      <c r="E14" s="16" t="n">
        <v>8861.78</v>
      </c>
      <c r="F14" s="15" t="n">
        <f aca="false">E14/INDEX(Setup!$B$11:$B$14,MATCH("22K",Setup!$A$11:$A$14,0))</f>
        <v>9674.43231441048</v>
      </c>
      <c r="G14" s="15" t="n">
        <f aca="false">F14-D14</f>
        <v>62.1323144104808</v>
      </c>
      <c r="H14" s="13" t="str">
        <f aca="false">IF(ABS(G14)&gt;Setup!$B$26,IF(G14&lt;0,"REPRICE UP","REPRICE DOWN"),"OK")</f>
        <v>OK</v>
      </c>
    </row>
    <row r="15" customFormat="false" ht="15" hidden="false" customHeight="false" outlineLevel="0" collapsed="false">
      <c r="A15" s="12" t="n">
        <v>46308</v>
      </c>
      <c r="B15" s="13" t="str">
        <f aca="false">TEXT(A15,"YYYY-MM")</f>
        <v>2026-10</v>
      </c>
      <c r="C15" s="14" t="n">
        <v>96279</v>
      </c>
      <c r="D15" s="15" t="n">
        <f aca="false">C15/10</f>
        <v>9627.9</v>
      </c>
      <c r="E15" s="16" t="n">
        <v>8861.78</v>
      </c>
      <c r="F15" s="15" t="n">
        <f aca="false">E15/INDEX(Setup!$B$11:$B$14,MATCH("22K",Setup!$A$11:$A$14,0))</f>
        <v>9674.43231441048</v>
      </c>
      <c r="G15" s="15" t="n">
        <f aca="false">F15-D15</f>
        <v>46.5323144104805</v>
      </c>
      <c r="H15" s="13" t="str">
        <f aca="false">IF(ABS(G15)&gt;Setup!$B$26,IF(G15&lt;0,"REPRICE UP","REPRICE DOWN"),"OK")</f>
        <v>OK</v>
      </c>
    </row>
    <row r="16" customFormat="false" ht="15" hidden="false" customHeight="false" outlineLevel="0" collapsed="false">
      <c r="A16" s="12" t="n">
        <v>46309</v>
      </c>
      <c r="B16" s="13" t="str">
        <f aca="false">TEXT(A16,"YYYY-MM")</f>
        <v>2026-10</v>
      </c>
      <c r="C16" s="14" t="n">
        <v>96128</v>
      </c>
      <c r="D16" s="15" t="n">
        <f aca="false">C16/10</f>
        <v>9612.8</v>
      </c>
      <c r="E16" s="16" t="n">
        <v>8861.78</v>
      </c>
      <c r="F16" s="15" t="n">
        <f aca="false">E16/INDEX(Setup!$B$11:$B$14,MATCH("22K",Setup!$A$11:$A$14,0))</f>
        <v>9674.43231441048</v>
      </c>
      <c r="G16" s="15" t="n">
        <f aca="false">F16-D16</f>
        <v>61.6323144104808</v>
      </c>
      <c r="H16" s="13" t="str">
        <f aca="false">IF(ABS(G16)&gt;Setup!$B$26,IF(G16&lt;0,"REPRICE UP","REPRICE DOWN"),"OK")</f>
        <v>OK</v>
      </c>
    </row>
    <row r="17" customFormat="false" ht="15" hidden="false" customHeight="false" outlineLevel="0" collapsed="false">
      <c r="A17" s="12" t="n">
        <v>46310</v>
      </c>
      <c r="B17" s="13" t="str">
        <f aca="false">TEXT(A17,"YYYY-MM")</f>
        <v>2026-10</v>
      </c>
      <c r="C17" s="14" t="n">
        <v>96059</v>
      </c>
      <c r="D17" s="15" t="n">
        <f aca="false">C17/10</f>
        <v>9605.9</v>
      </c>
      <c r="E17" s="16" t="n">
        <v>8805.39</v>
      </c>
      <c r="F17" s="15" t="n">
        <f aca="false">E17/INDEX(Setup!$B$11:$B$14,MATCH("22K",Setup!$A$11:$A$14,0))</f>
        <v>9612.8711790393</v>
      </c>
      <c r="G17" s="15" t="n">
        <f aca="false">F17-D17</f>
        <v>6.97117903930121</v>
      </c>
      <c r="H17" s="13" t="str">
        <f aca="false">IF(ABS(G17)&gt;Setup!$B$26,IF(G17&lt;0,"REPRICE UP","REPRICE DOWN"),"OK")</f>
        <v>OK</v>
      </c>
    </row>
    <row r="18" customFormat="false" ht="15" hidden="false" customHeight="false" outlineLevel="0" collapsed="false">
      <c r="A18" s="12" t="n">
        <v>46311</v>
      </c>
      <c r="B18" s="13" t="str">
        <f aca="false">TEXT(A18,"YYYY-MM")</f>
        <v>2026-10</v>
      </c>
      <c r="C18" s="14" t="n">
        <v>96792</v>
      </c>
      <c r="D18" s="15" t="n">
        <f aca="false">C18/10</f>
        <v>9679.2</v>
      </c>
      <c r="E18" s="16" t="n">
        <v>8805.39</v>
      </c>
      <c r="F18" s="15" t="n">
        <f aca="false">E18/INDEX(Setup!$B$11:$B$14,MATCH("22K",Setup!$A$11:$A$14,0))</f>
        <v>9612.8711790393</v>
      </c>
      <c r="G18" s="15" t="n">
        <f aca="false">F18-D18</f>
        <v>-66.3288209606999</v>
      </c>
      <c r="H18" s="13" t="str">
        <f aca="false">IF(ABS(G18)&gt;Setup!$B$26,IF(G18&lt;0,"REPRICE UP","REPRICE DOWN"),"OK")</f>
        <v>OK</v>
      </c>
    </row>
    <row r="19" customFormat="false" ht="15" hidden="false" customHeight="false" outlineLevel="0" collapsed="false">
      <c r="A19" s="12" t="n">
        <v>46312</v>
      </c>
      <c r="B19" s="13" t="str">
        <f aca="false">TEXT(A19,"YYYY-MM")</f>
        <v>2026-10</v>
      </c>
      <c r="C19" s="14" t="n">
        <v>97060</v>
      </c>
      <c r="D19" s="15" t="n">
        <f aca="false">C19/10</f>
        <v>9706</v>
      </c>
      <c r="E19" s="16" t="n">
        <v>8805.39</v>
      </c>
      <c r="F19" s="15" t="n">
        <f aca="false">E19/INDEX(Setup!$B$11:$B$14,MATCH("22K",Setup!$A$11:$A$14,0))</f>
        <v>9612.8711790393</v>
      </c>
      <c r="G19" s="15" t="n">
        <f aca="false">F19-D19</f>
        <v>-93.1288209606992</v>
      </c>
      <c r="H19" s="13" t="str">
        <f aca="false">IF(ABS(G19)&gt;Setup!$B$26,IF(G19&lt;0,"REPRICE UP","REPRICE DOWN"),"OK")</f>
        <v>OK</v>
      </c>
    </row>
    <row r="20" customFormat="false" ht="15" hidden="false" customHeight="false" outlineLevel="0" collapsed="false">
      <c r="A20" s="12" t="n">
        <v>46314</v>
      </c>
      <c r="B20" s="13" t="str">
        <f aca="false">TEXT(A20,"YYYY-MM")</f>
        <v>2026-10</v>
      </c>
      <c r="C20" s="14" t="n">
        <v>96132</v>
      </c>
      <c r="D20" s="15" t="n">
        <f aca="false">C20/10</f>
        <v>9613.2</v>
      </c>
      <c r="E20" s="16" t="n">
        <v>8805.39</v>
      </c>
      <c r="F20" s="15" t="n">
        <f aca="false">E20/INDEX(Setup!$B$11:$B$14,MATCH("22K",Setup!$A$11:$A$14,0))</f>
        <v>9612.8711790393</v>
      </c>
      <c r="G20" s="15" t="n">
        <f aca="false">F20-D20</f>
        <v>-0.328820960699886</v>
      </c>
      <c r="H20" s="13" t="str">
        <f aca="false">IF(ABS(G20)&gt;Setup!$B$26,IF(G20&lt;0,"REPRICE UP","REPRICE DOWN"),"OK")</f>
        <v>OK</v>
      </c>
    </row>
    <row r="21" customFormat="false" ht="15" hidden="false" customHeight="false" outlineLevel="0" collapsed="false">
      <c r="A21" s="12" t="n">
        <v>46315</v>
      </c>
      <c r="B21" s="13" t="str">
        <f aca="false">TEXT(A21,"YYYY-MM")</f>
        <v>2026-10</v>
      </c>
      <c r="C21" s="14" t="n">
        <v>96909</v>
      </c>
      <c r="D21" s="15" t="n">
        <f aca="false">C21/10</f>
        <v>9690.9</v>
      </c>
      <c r="E21" s="16" t="n">
        <v>8891.47</v>
      </c>
      <c r="F21" s="15" t="n">
        <f aca="false">E21/INDEX(Setup!$B$11:$B$14,MATCH("22K",Setup!$A$11:$A$14,0))</f>
        <v>9706.84497816594</v>
      </c>
      <c r="G21" s="15" t="n">
        <f aca="false">F21-D21</f>
        <v>15.9449781659387</v>
      </c>
      <c r="H21" s="13" t="str">
        <f aca="false">IF(ABS(G21)&gt;Setup!$B$26,IF(G21&lt;0,"REPRICE UP","REPRICE DOWN"),"OK")</f>
        <v>OK</v>
      </c>
    </row>
    <row r="22" customFormat="false" ht="15" hidden="false" customHeight="false" outlineLevel="0" collapsed="false">
      <c r="A22" s="12" t="n">
        <v>46316</v>
      </c>
      <c r="B22" s="13" t="str">
        <f aca="false">TEXT(A22,"YYYY-MM")</f>
        <v>2026-10</v>
      </c>
      <c r="C22" s="14" t="n">
        <v>97613</v>
      </c>
      <c r="D22" s="15" t="n">
        <f aca="false">C22/10</f>
        <v>9761.3</v>
      </c>
      <c r="E22" s="16" t="n">
        <v>8891.47</v>
      </c>
      <c r="F22" s="15" t="n">
        <f aca="false">E22/INDEX(Setup!$B$11:$B$14,MATCH("22K",Setup!$A$11:$A$14,0))</f>
        <v>9706.84497816594</v>
      </c>
      <c r="G22" s="15" t="n">
        <f aca="false">F22-D22</f>
        <v>-54.455021834061</v>
      </c>
      <c r="H22" s="13" t="str">
        <f aca="false">IF(ABS(G22)&gt;Setup!$B$26,IF(G22&lt;0,"REPRICE UP","REPRICE DOWN"),"OK")</f>
        <v>OK</v>
      </c>
    </row>
    <row r="23" customFormat="false" ht="15" hidden="false" customHeight="false" outlineLevel="0" collapsed="false">
      <c r="A23" s="12" t="n">
        <v>46317</v>
      </c>
      <c r="B23" s="13" t="str">
        <f aca="false">TEXT(A23,"YYYY-MM")</f>
        <v>2026-10</v>
      </c>
      <c r="C23" s="14" t="n">
        <v>97248</v>
      </c>
      <c r="D23" s="15" t="n">
        <f aca="false">C23/10</f>
        <v>9724.8</v>
      </c>
      <c r="E23" s="16" t="n">
        <v>8891.47</v>
      </c>
      <c r="F23" s="15" t="n">
        <f aca="false">E23/INDEX(Setup!$B$11:$B$14,MATCH("22K",Setup!$A$11:$A$14,0))</f>
        <v>9706.84497816594</v>
      </c>
      <c r="G23" s="15" t="n">
        <f aca="false">F23-D23</f>
        <v>-17.955021834061</v>
      </c>
      <c r="H23" s="13" t="str">
        <f aca="false">IF(ABS(G23)&gt;Setup!$B$26,IF(G23&lt;0,"REPRICE UP","REPRICE DOWN"),"OK")</f>
        <v>OK</v>
      </c>
    </row>
    <row r="24" customFormat="false" ht="15" hidden="false" customHeight="false" outlineLevel="0" collapsed="false">
      <c r="A24" s="12" t="n">
        <v>46318</v>
      </c>
      <c r="B24" s="13" t="str">
        <f aca="false">TEXT(A24,"YYYY-MM")</f>
        <v>2026-10</v>
      </c>
      <c r="C24" s="14" t="n">
        <v>97075</v>
      </c>
      <c r="D24" s="15" t="n">
        <f aca="false">C24/10</f>
        <v>9707.5</v>
      </c>
      <c r="E24" s="16" t="n">
        <v>8891.47</v>
      </c>
      <c r="F24" s="15" t="n">
        <f aca="false">E24/INDEX(Setup!$B$11:$B$14,MATCH("22K",Setup!$A$11:$A$14,0))</f>
        <v>9706.84497816594</v>
      </c>
      <c r="G24" s="15" t="n">
        <f aca="false">F24-D24</f>
        <v>-0.655021834061699</v>
      </c>
      <c r="H24" s="13" t="str">
        <f aca="false">IF(ABS(G24)&gt;Setup!$B$26,IF(G24&lt;0,"REPRICE UP","REPRICE DOWN"),"OK")</f>
        <v>OK</v>
      </c>
    </row>
    <row r="25" customFormat="false" ht="15" hidden="false" customHeight="false" outlineLevel="0" collapsed="false">
      <c r="A25" s="12" t="n">
        <v>46319</v>
      </c>
      <c r="B25" s="13" t="str">
        <f aca="false">TEXT(A25,"YYYY-MM")</f>
        <v>2026-10</v>
      </c>
      <c r="C25" s="14" t="n">
        <v>96550</v>
      </c>
      <c r="D25" s="15" t="n">
        <f aca="false">C25/10</f>
        <v>9655</v>
      </c>
      <c r="E25" s="16" t="n">
        <v>8864.11</v>
      </c>
      <c r="F25" s="15" t="n">
        <f aca="false">E25/INDEX(Setup!$B$11:$B$14,MATCH("22K",Setup!$A$11:$A$14,0))</f>
        <v>9676.97598253275</v>
      </c>
      <c r="G25" s="15" t="n">
        <f aca="false">F25-D25</f>
        <v>21.975982532751</v>
      </c>
      <c r="H25" s="13" t="str">
        <f aca="false">IF(ABS(G25)&gt;Setup!$B$26,IF(G25&lt;0,"REPRICE UP","REPRICE DOWN"),"OK")</f>
        <v>OK</v>
      </c>
    </row>
    <row r="26" customFormat="false" ht="15" hidden="false" customHeight="false" outlineLevel="0" collapsed="false">
      <c r="A26" s="12" t="n">
        <v>46321</v>
      </c>
      <c r="B26" s="13" t="str">
        <f aca="false">TEXT(A26,"YYYY-MM")</f>
        <v>2026-10</v>
      </c>
      <c r="C26" s="14" t="n">
        <v>97692</v>
      </c>
      <c r="D26" s="15" t="n">
        <f aca="false">C26/10</f>
        <v>9769.2</v>
      </c>
      <c r="E26" s="16" t="n">
        <v>8864.11</v>
      </c>
      <c r="F26" s="15" t="n">
        <f aca="false">E26/INDEX(Setup!$B$11:$B$14,MATCH("22K",Setup!$A$11:$A$14,0))</f>
        <v>9676.97598253275</v>
      </c>
      <c r="G26" s="15" t="n">
        <f aca="false">F26-D26</f>
        <v>-92.2240174672497</v>
      </c>
      <c r="H26" s="13" t="str">
        <f aca="false">IF(ABS(G26)&gt;Setup!$B$26,IF(G26&lt;0,"REPRICE UP","REPRICE DOWN"),"OK")</f>
        <v>OK</v>
      </c>
    </row>
    <row r="28" customFormat="false" ht="15" hidden="false" customHeight="false" outlineLevel="0" collapsed="false">
      <c r="A28" s="2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1" t="s">
        <v>64</v>
      </c>
    </row>
    <row r="2" customFormat="false" ht="15" hidden="false" customHeight="false" outlineLevel="0" collapsed="false">
      <c r="A2" s="2" t="s">
        <v>65</v>
      </c>
    </row>
    <row r="4" customFormat="false" ht="30" hidden="false" customHeight="true" outlineLevel="0" collapsed="false">
      <c r="A4" s="8" t="s">
        <v>66</v>
      </c>
      <c r="B4" s="8" t="s">
        <v>67</v>
      </c>
      <c r="C4" s="8" t="s">
        <v>31</v>
      </c>
      <c r="D4" s="8" t="s">
        <v>32</v>
      </c>
      <c r="E4" s="8" t="s">
        <v>68</v>
      </c>
      <c r="F4" s="8" t="s">
        <v>69</v>
      </c>
      <c r="G4" s="8" t="s">
        <v>70</v>
      </c>
      <c r="H4" s="8" t="s">
        <v>71</v>
      </c>
      <c r="I4" s="8" t="s">
        <v>72</v>
      </c>
      <c r="J4" s="8" t="s">
        <v>73</v>
      </c>
      <c r="K4" s="8" t="s">
        <v>74</v>
      </c>
    </row>
    <row r="5" customFormat="false" ht="15" hidden="false" customHeight="false" outlineLevel="0" collapsed="false">
      <c r="A5" s="13" t="s">
        <v>75</v>
      </c>
      <c r="B5" s="13" t="s">
        <v>76</v>
      </c>
      <c r="C5" s="17" t="s">
        <v>34</v>
      </c>
      <c r="D5" s="18" t="n">
        <f aca="false">INDEX(Setup!$B$11:$B$14,MATCH(C5,Setup!$A$11:$A$14,0))</f>
        <v>0.916</v>
      </c>
      <c r="E5" s="19" t="n">
        <v>27.563</v>
      </c>
      <c r="F5" s="19" t="n">
        <v>0</v>
      </c>
      <c r="G5" s="20" t="n">
        <f aca="false">E5-F5</f>
        <v>27.563</v>
      </c>
      <c r="H5" s="20" t="n">
        <f aca="false">G5*D5</f>
        <v>25.247708</v>
      </c>
      <c r="I5" s="13" t="s">
        <v>77</v>
      </c>
      <c r="J5" s="14" t="n">
        <v>614</v>
      </c>
      <c r="K5" s="21" t="n">
        <f aca="false">IF(I5="Per gram",G5*J5,G5*D5*INDEX(Rate_Sheet!$D$5:$D$26,1)*J5)</f>
        <v>16923.682</v>
      </c>
    </row>
    <row r="6" customFormat="false" ht="15" hidden="false" customHeight="false" outlineLevel="0" collapsed="false">
      <c r="A6" s="13" t="s">
        <v>78</v>
      </c>
      <c r="B6" s="13" t="s">
        <v>79</v>
      </c>
      <c r="C6" s="17" t="s">
        <v>34</v>
      </c>
      <c r="D6" s="18" t="n">
        <f aca="false">INDEX(Setup!$B$11:$B$14,MATCH(C6,Setup!$A$11:$A$14,0))</f>
        <v>0.916</v>
      </c>
      <c r="E6" s="19" t="n">
        <v>26.934</v>
      </c>
      <c r="F6" s="19" t="n">
        <v>0</v>
      </c>
      <c r="G6" s="20" t="n">
        <f aca="false">E6-F6</f>
        <v>26.934</v>
      </c>
      <c r="H6" s="20" t="n">
        <f aca="false">G6*D6</f>
        <v>24.671544</v>
      </c>
      <c r="I6" s="13" t="s">
        <v>77</v>
      </c>
      <c r="J6" s="14" t="n">
        <v>390</v>
      </c>
      <c r="K6" s="21" t="n">
        <f aca="false">IF(I6="Per gram",G6*J6,G6*D6*INDEX(Rate_Sheet!$D$5:$D$26,1)*J6)</f>
        <v>10504.26</v>
      </c>
    </row>
    <row r="7" customFormat="false" ht="15" hidden="false" customHeight="false" outlineLevel="0" collapsed="false">
      <c r="A7" s="13" t="s">
        <v>80</v>
      </c>
      <c r="B7" s="13" t="s">
        <v>81</v>
      </c>
      <c r="C7" s="17" t="s">
        <v>34</v>
      </c>
      <c r="D7" s="18" t="n">
        <f aca="false">INDEX(Setup!$B$11:$B$14,MATCH(C7,Setup!$A$11:$A$14,0))</f>
        <v>0.916</v>
      </c>
      <c r="E7" s="19" t="n">
        <v>37.15</v>
      </c>
      <c r="F7" s="19" t="n">
        <v>4.179</v>
      </c>
      <c r="G7" s="20" t="n">
        <f aca="false">E7-F7</f>
        <v>32.971</v>
      </c>
      <c r="H7" s="20" t="n">
        <f aca="false">G7*D7</f>
        <v>30.201436</v>
      </c>
      <c r="I7" s="13" t="s">
        <v>82</v>
      </c>
      <c r="J7" s="22" t="n">
        <v>0.1168</v>
      </c>
      <c r="K7" s="21" t="n">
        <f aca="false">IF(I7="Per gram",G7*J7,G7*D7*INDEX(Rate_Sheet!$D$5:$D$26,1)*J7)</f>
        <v>32445.4945071654</v>
      </c>
    </row>
    <row r="8" customFormat="false" ht="15" hidden="false" customHeight="false" outlineLevel="0" collapsed="false">
      <c r="A8" s="13" t="s">
        <v>83</v>
      </c>
      <c r="B8" s="13" t="s">
        <v>84</v>
      </c>
      <c r="C8" s="17" t="s">
        <v>34</v>
      </c>
      <c r="D8" s="18" t="n">
        <f aca="false">INDEX(Setup!$B$11:$B$14,MATCH(C8,Setup!$A$11:$A$14,0))</f>
        <v>0.916</v>
      </c>
      <c r="E8" s="19" t="n">
        <v>40.969</v>
      </c>
      <c r="F8" s="19" t="n">
        <v>3.484</v>
      </c>
      <c r="G8" s="20" t="n">
        <f aca="false">E8-F8</f>
        <v>37.485</v>
      </c>
      <c r="H8" s="20" t="n">
        <f aca="false">G8*D8</f>
        <v>34.33626</v>
      </c>
      <c r="I8" s="13" t="s">
        <v>82</v>
      </c>
      <c r="J8" s="22" t="n">
        <v>0.1599</v>
      </c>
      <c r="K8" s="21" t="n">
        <f aca="false">IF(I8="Per gram",G8*J8,G8*D8*INDEX(Rate_Sheet!$D$5:$D$26,1)*J8)</f>
        <v>50499.3065512572</v>
      </c>
    </row>
    <row r="9" customFormat="false" ht="15" hidden="false" customHeight="false" outlineLevel="0" collapsed="false">
      <c r="A9" s="13" t="s">
        <v>85</v>
      </c>
      <c r="B9" s="13" t="s">
        <v>86</v>
      </c>
      <c r="C9" s="17" t="s">
        <v>34</v>
      </c>
      <c r="D9" s="18" t="n">
        <f aca="false">INDEX(Setup!$B$11:$B$14,MATCH(C9,Setup!$A$11:$A$14,0))</f>
        <v>0.916</v>
      </c>
      <c r="E9" s="19" t="n">
        <v>32.475</v>
      </c>
      <c r="F9" s="19" t="n">
        <v>1.9</v>
      </c>
      <c r="G9" s="20" t="n">
        <f aca="false">E9-F9</f>
        <v>30.575</v>
      </c>
      <c r="H9" s="20" t="n">
        <f aca="false">G9*D9</f>
        <v>28.0067</v>
      </c>
      <c r="I9" s="13" t="s">
        <v>82</v>
      </c>
      <c r="J9" s="22" t="n">
        <v>0.1068</v>
      </c>
      <c r="K9" s="21" t="n">
        <f aca="false">IF(I9="Per gram",G9*J9,G9*D9*INDEX(Rate_Sheet!$D$5:$D$26,1)*J9)</f>
        <v>27511.682697768</v>
      </c>
    </row>
    <row r="10" customFormat="false" ht="15" hidden="false" customHeight="false" outlineLevel="0" collapsed="false">
      <c r="A10" s="13" t="s">
        <v>87</v>
      </c>
      <c r="B10" s="13" t="s">
        <v>76</v>
      </c>
      <c r="C10" s="17" t="s">
        <v>34</v>
      </c>
      <c r="D10" s="18" t="n">
        <f aca="false">INDEX(Setup!$B$11:$B$14,MATCH(C10,Setup!$A$11:$A$14,0))</f>
        <v>0.916</v>
      </c>
      <c r="E10" s="19" t="n">
        <v>26.609</v>
      </c>
      <c r="F10" s="19" t="n">
        <v>0</v>
      </c>
      <c r="G10" s="20" t="n">
        <f aca="false">E10-F10</f>
        <v>26.609</v>
      </c>
      <c r="H10" s="20" t="n">
        <f aca="false">G10*D10</f>
        <v>24.373844</v>
      </c>
      <c r="I10" s="13" t="s">
        <v>77</v>
      </c>
      <c r="J10" s="14" t="n">
        <v>453</v>
      </c>
      <c r="K10" s="21" t="n">
        <f aca="false">IF(I10="Per gram",G10*J10,G10*D10*INDEX(Rate_Sheet!$D$5:$D$26,1)*J10)</f>
        <v>12053.877</v>
      </c>
    </row>
    <row r="11" customFormat="false" ht="15" hidden="false" customHeight="false" outlineLevel="0" collapsed="false">
      <c r="A11" s="13" t="s">
        <v>88</v>
      </c>
      <c r="B11" s="13" t="s">
        <v>79</v>
      </c>
      <c r="C11" s="17" t="s">
        <v>34</v>
      </c>
      <c r="D11" s="18" t="n">
        <f aca="false">INDEX(Setup!$B$11:$B$14,MATCH(C11,Setup!$A$11:$A$14,0))</f>
        <v>0.916</v>
      </c>
      <c r="E11" s="19" t="n">
        <v>8.207</v>
      </c>
      <c r="F11" s="19" t="n">
        <v>0</v>
      </c>
      <c r="G11" s="20" t="n">
        <f aca="false">E11-F11</f>
        <v>8.207</v>
      </c>
      <c r="H11" s="20" t="n">
        <f aca="false">G11*D11</f>
        <v>7.517612</v>
      </c>
      <c r="I11" s="13" t="s">
        <v>77</v>
      </c>
      <c r="J11" s="14" t="n">
        <v>343</v>
      </c>
      <c r="K11" s="21" t="n">
        <f aca="false">IF(I11="Per gram",G11*J11,G11*D11*INDEX(Rate_Sheet!$D$5:$D$26,1)*J11)</f>
        <v>2815.001</v>
      </c>
    </row>
    <row r="12" customFormat="false" ht="15" hidden="false" customHeight="false" outlineLevel="0" collapsed="false">
      <c r="A12" s="13" t="s">
        <v>89</v>
      </c>
      <c r="B12" s="13" t="s">
        <v>81</v>
      </c>
      <c r="C12" s="17" t="s">
        <v>35</v>
      </c>
      <c r="D12" s="18" t="n">
        <f aca="false">INDEX(Setup!$B$11:$B$14,MATCH(C12,Setup!$A$11:$A$14,0))</f>
        <v>0.75</v>
      </c>
      <c r="E12" s="19" t="n">
        <v>26.732</v>
      </c>
      <c r="F12" s="19" t="n">
        <v>3.245</v>
      </c>
      <c r="G12" s="20" t="n">
        <f aca="false">E12-F12</f>
        <v>23.487</v>
      </c>
      <c r="H12" s="20" t="n">
        <f aca="false">G12*D12</f>
        <v>17.61525</v>
      </c>
      <c r="I12" s="13" t="s">
        <v>82</v>
      </c>
      <c r="J12" s="22" t="n">
        <v>0.1028</v>
      </c>
      <c r="K12" s="21" t="n">
        <f aca="false">IF(I12="Per gram",G12*J12,G12*D12*INDEX(Rate_Sheet!$D$5:$D$26,1)*J12)</f>
        <v>16655.81497506</v>
      </c>
    </row>
    <row r="13" customFormat="false" ht="15" hidden="false" customHeight="false" outlineLevel="0" collapsed="false">
      <c r="A13" s="13" t="s">
        <v>90</v>
      </c>
      <c r="B13" s="13" t="s">
        <v>84</v>
      </c>
      <c r="C13" s="17" t="s">
        <v>34</v>
      </c>
      <c r="D13" s="18" t="n">
        <f aca="false">INDEX(Setup!$B$11:$B$14,MATCH(C13,Setup!$A$11:$A$14,0))</f>
        <v>0.916</v>
      </c>
      <c r="E13" s="19" t="n">
        <v>30.987</v>
      </c>
      <c r="F13" s="19" t="n">
        <v>2.298</v>
      </c>
      <c r="G13" s="20" t="n">
        <f aca="false">E13-F13</f>
        <v>28.689</v>
      </c>
      <c r="H13" s="20" t="n">
        <f aca="false">G13*D13</f>
        <v>26.279124</v>
      </c>
      <c r="I13" s="13" t="s">
        <v>82</v>
      </c>
      <c r="J13" s="22" t="n">
        <v>0.123</v>
      </c>
      <c r="K13" s="21" t="n">
        <f aca="false">IF(I13="Per gram",G13*J13,G13*D13*INDEX(Rate_Sheet!$D$5:$D$26,1)*J13)</f>
        <v>29730.3455874456</v>
      </c>
    </row>
    <row r="14" customFormat="false" ht="15" hidden="false" customHeight="false" outlineLevel="0" collapsed="false">
      <c r="A14" s="13" t="s">
        <v>91</v>
      </c>
      <c r="B14" s="13" t="s">
        <v>86</v>
      </c>
      <c r="C14" s="17" t="s">
        <v>34</v>
      </c>
      <c r="D14" s="18" t="n">
        <f aca="false">INDEX(Setup!$B$11:$B$14,MATCH(C14,Setup!$A$11:$A$14,0))</f>
        <v>0.916</v>
      </c>
      <c r="E14" s="19" t="n">
        <v>36.835</v>
      </c>
      <c r="F14" s="19" t="n">
        <v>2.179</v>
      </c>
      <c r="G14" s="20" t="n">
        <f aca="false">E14-F14</f>
        <v>34.656</v>
      </c>
      <c r="H14" s="20" t="n">
        <f aca="false">G14*D14</f>
        <v>31.744896</v>
      </c>
      <c r="I14" s="13" t="s">
        <v>82</v>
      </c>
      <c r="J14" s="22" t="n">
        <v>0.1293</v>
      </c>
      <c r="K14" s="21" t="n">
        <f aca="false">IF(I14="Per gram",G14*J14,G14*D14*INDEX(Rate_Sheet!$D$5:$D$26,1)*J14)</f>
        <v>37753.4283326438</v>
      </c>
    </row>
    <row r="15" customFormat="false" ht="15" hidden="false" customHeight="false" outlineLevel="0" collapsed="false">
      <c r="A15" s="13" t="s">
        <v>92</v>
      </c>
      <c r="B15" s="13" t="s">
        <v>76</v>
      </c>
      <c r="C15" s="17" t="s">
        <v>34</v>
      </c>
      <c r="D15" s="18" t="n">
        <f aca="false">INDEX(Setup!$B$11:$B$14,MATCH(C15,Setup!$A$11:$A$14,0))</f>
        <v>0.916</v>
      </c>
      <c r="E15" s="19" t="n">
        <v>15.222</v>
      </c>
      <c r="F15" s="19" t="n">
        <v>0</v>
      </c>
      <c r="G15" s="20" t="n">
        <f aca="false">E15-F15</f>
        <v>15.222</v>
      </c>
      <c r="H15" s="20" t="n">
        <f aca="false">G15*D15</f>
        <v>13.943352</v>
      </c>
      <c r="I15" s="13" t="s">
        <v>77</v>
      </c>
      <c r="J15" s="14" t="n">
        <v>400</v>
      </c>
      <c r="K15" s="21" t="n">
        <f aca="false">IF(I15="Per gram",G15*J15,G15*D15*INDEX(Rate_Sheet!$D$5:$D$26,1)*J15)</f>
        <v>6088.8</v>
      </c>
    </row>
    <row r="16" customFormat="false" ht="15" hidden="false" customHeight="false" outlineLevel="0" collapsed="false">
      <c r="A16" s="13" t="s">
        <v>93</v>
      </c>
      <c r="B16" s="13" t="s">
        <v>79</v>
      </c>
      <c r="C16" s="17" t="s">
        <v>34</v>
      </c>
      <c r="D16" s="18" t="n">
        <f aca="false">INDEX(Setup!$B$11:$B$14,MATCH(C16,Setup!$A$11:$A$14,0))</f>
        <v>0.916</v>
      </c>
      <c r="E16" s="19" t="n">
        <v>11.829</v>
      </c>
      <c r="F16" s="19" t="n">
        <v>0</v>
      </c>
      <c r="G16" s="20" t="n">
        <f aca="false">E16-F16</f>
        <v>11.829</v>
      </c>
      <c r="H16" s="20" t="n">
        <f aca="false">G16*D16</f>
        <v>10.835364</v>
      </c>
      <c r="I16" s="13" t="s">
        <v>77</v>
      </c>
      <c r="J16" s="14" t="n">
        <v>521</v>
      </c>
      <c r="K16" s="21" t="n">
        <f aca="false">IF(I16="Per gram",G16*J16,G16*D16*INDEX(Rate_Sheet!$D$5:$D$26,1)*J16)</f>
        <v>6162.909</v>
      </c>
    </row>
    <row r="17" customFormat="false" ht="15" hidden="false" customHeight="false" outlineLevel="0" collapsed="false">
      <c r="A17" s="13" t="s">
        <v>94</v>
      </c>
      <c r="B17" s="13" t="s">
        <v>81</v>
      </c>
      <c r="C17" s="17" t="s">
        <v>35</v>
      </c>
      <c r="D17" s="18" t="n">
        <f aca="false">INDEX(Setup!$B$11:$B$14,MATCH(C17,Setup!$A$11:$A$14,0))</f>
        <v>0.75</v>
      </c>
      <c r="E17" s="19" t="n">
        <v>14.185</v>
      </c>
      <c r="F17" s="19" t="n">
        <v>1.625</v>
      </c>
      <c r="G17" s="20" t="n">
        <f aca="false">E17-F17</f>
        <v>12.56</v>
      </c>
      <c r="H17" s="20" t="n">
        <f aca="false">G17*D17</f>
        <v>9.42</v>
      </c>
      <c r="I17" s="13" t="s">
        <v>82</v>
      </c>
      <c r="J17" s="22" t="n">
        <v>0.1115</v>
      </c>
      <c r="K17" s="21" t="n">
        <f aca="false">IF(I17="Per gram",G17*J17,G17*D17*INDEX(Rate_Sheet!$D$5:$D$26,1)*J17)</f>
        <v>9660.725274</v>
      </c>
    </row>
    <row r="18" customFormat="false" ht="15" hidden="false" customHeight="false" outlineLevel="0" collapsed="false">
      <c r="A18" s="13" t="s">
        <v>95</v>
      </c>
      <c r="B18" s="13" t="s">
        <v>84</v>
      </c>
      <c r="C18" s="17" t="s">
        <v>34</v>
      </c>
      <c r="D18" s="18" t="n">
        <f aca="false">INDEX(Setup!$B$11:$B$14,MATCH(C18,Setup!$A$11:$A$14,0))</f>
        <v>0.916</v>
      </c>
      <c r="E18" s="19" t="n">
        <v>15.032</v>
      </c>
      <c r="F18" s="19" t="n">
        <v>2.031</v>
      </c>
      <c r="G18" s="20" t="n">
        <f aca="false">E18-F18</f>
        <v>13.001</v>
      </c>
      <c r="H18" s="20" t="n">
        <f aca="false">G18*D18</f>
        <v>11.908916</v>
      </c>
      <c r="I18" s="13" t="s">
        <v>82</v>
      </c>
      <c r="J18" s="22" t="n">
        <v>0.1322</v>
      </c>
      <c r="K18" s="21" t="n">
        <f aca="false">IF(I18="Per gram",G18*J18,G18*D18*INDEX(Rate_Sheet!$D$5:$D$26,1)*J18)</f>
        <v>14480.6364067106</v>
      </c>
    </row>
    <row r="19" customFormat="false" ht="15" hidden="false" customHeight="false" outlineLevel="0" collapsed="false">
      <c r="A19" s="13" t="s">
        <v>96</v>
      </c>
      <c r="B19" s="13" t="s">
        <v>86</v>
      </c>
      <c r="C19" s="17" t="s">
        <v>34</v>
      </c>
      <c r="D19" s="18" t="n">
        <f aca="false">INDEX(Setup!$B$11:$B$14,MATCH(C19,Setup!$A$11:$A$14,0))</f>
        <v>0.916</v>
      </c>
      <c r="E19" s="19" t="n">
        <v>10.361</v>
      </c>
      <c r="F19" s="19" t="n">
        <v>0.923</v>
      </c>
      <c r="G19" s="20" t="n">
        <f aca="false">E19-F19</f>
        <v>9.438</v>
      </c>
      <c r="H19" s="20" t="n">
        <f aca="false">G19*D19</f>
        <v>8.645208</v>
      </c>
      <c r="I19" s="13" t="s">
        <v>82</v>
      </c>
      <c r="J19" s="22" t="n">
        <v>0.1108</v>
      </c>
      <c r="K19" s="21" t="n">
        <f aca="false">IF(I19="Per gram",G19*J19,G19*D19*INDEX(Rate_Sheet!$D$5:$D$26,1)*J19)</f>
        <v>8810.47187097792</v>
      </c>
    </row>
    <row r="20" customFormat="false" ht="15" hidden="false" customHeight="false" outlineLevel="0" collapsed="false">
      <c r="A20" s="13" t="s">
        <v>97</v>
      </c>
      <c r="B20" s="13" t="s">
        <v>76</v>
      </c>
      <c r="C20" s="17" t="s">
        <v>34</v>
      </c>
      <c r="D20" s="18" t="n">
        <f aca="false">INDEX(Setup!$B$11:$B$14,MATCH(C20,Setup!$A$11:$A$14,0))</f>
        <v>0.916</v>
      </c>
      <c r="E20" s="19" t="n">
        <v>5.71</v>
      </c>
      <c r="F20" s="19" t="n">
        <v>0</v>
      </c>
      <c r="G20" s="20" t="n">
        <f aca="false">E20-F20</f>
        <v>5.71</v>
      </c>
      <c r="H20" s="20" t="n">
        <f aca="false">G20*D20</f>
        <v>5.23036</v>
      </c>
      <c r="I20" s="13" t="s">
        <v>77</v>
      </c>
      <c r="J20" s="14" t="n">
        <v>401</v>
      </c>
      <c r="K20" s="21" t="n">
        <f aca="false">IF(I20="Per gram",G20*J20,G20*D20*INDEX(Rate_Sheet!$D$5:$D$26,1)*J20)</f>
        <v>2289.71</v>
      </c>
    </row>
    <row r="21" customFormat="false" ht="15" hidden="false" customHeight="false" outlineLevel="0" collapsed="false">
      <c r="A21" s="13" t="s">
        <v>98</v>
      </c>
      <c r="B21" s="13" t="s">
        <v>79</v>
      </c>
      <c r="C21" s="17" t="s">
        <v>34</v>
      </c>
      <c r="D21" s="18" t="n">
        <f aca="false">INDEX(Setup!$B$11:$B$14,MATCH(C21,Setup!$A$11:$A$14,0))</f>
        <v>0.916</v>
      </c>
      <c r="E21" s="19" t="n">
        <v>40.02</v>
      </c>
      <c r="F21" s="19" t="n">
        <v>0</v>
      </c>
      <c r="G21" s="20" t="n">
        <f aca="false">E21-F21</f>
        <v>40.02</v>
      </c>
      <c r="H21" s="20" t="n">
        <f aca="false">G21*D21</f>
        <v>36.65832</v>
      </c>
      <c r="I21" s="13" t="s">
        <v>77</v>
      </c>
      <c r="J21" s="14" t="n">
        <v>586</v>
      </c>
      <c r="K21" s="21" t="n">
        <f aca="false">IF(I21="Per gram",G21*J21,G21*D21*INDEX(Rate_Sheet!$D$5:$D$26,1)*J21)</f>
        <v>23451.72</v>
      </c>
    </row>
    <row r="22" customFormat="false" ht="15" hidden="false" customHeight="false" outlineLevel="0" collapsed="false">
      <c r="A22" s="13" t="s">
        <v>99</v>
      </c>
      <c r="B22" s="13" t="s">
        <v>81</v>
      </c>
      <c r="C22" s="17" t="s">
        <v>34</v>
      </c>
      <c r="D22" s="18" t="n">
        <f aca="false">INDEX(Setup!$B$11:$B$14,MATCH(C22,Setup!$A$11:$A$14,0))</f>
        <v>0.916</v>
      </c>
      <c r="E22" s="19" t="n">
        <v>32.068</v>
      </c>
      <c r="F22" s="19" t="n">
        <v>2.378</v>
      </c>
      <c r="G22" s="20" t="n">
        <f aca="false">E22-F22</f>
        <v>29.69</v>
      </c>
      <c r="H22" s="20" t="n">
        <f aca="false">G22*D22</f>
        <v>27.19604</v>
      </c>
      <c r="I22" s="13" t="s">
        <v>82</v>
      </c>
      <c r="J22" s="22" t="n">
        <v>0.1315</v>
      </c>
      <c r="K22" s="21" t="n">
        <f aca="false">IF(I22="Per gram",G22*J22,G22*D22*INDEX(Rate_Sheet!$D$5:$D$26,1)*J22)</f>
        <v>32893.901377628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4" min="4" style="0" width="15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14"/>
  </cols>
  <sheetData>
    <row r="1" customFormat="false" ht="17.35" hidden="false" customHeight="false" outlineLevel="0" collapsed="false">
      <c r="A1" s="1" t="s">
        <v>100</v>
      </c>
    </row>
    <row r="2" customFormat="false" ht="15" hidden="false" customHeight="false" outlineLevel="0" collapsed="false">
      <c r="A2" s="2" t="s">
        <v>101</v>
      </c>
    </row>
    <row r="4" customFormat="false" ht="30" hidden="false" customHeight="true" outlineLevel="0" collapsed="false">
      <c r="A4" s="8" t="s">
        <v>55</v>
      </c>
      <c r="B4" s="8" t="s">
        <v>56</v>
      </c>
      <c r="C4" s="8" t="s">
        <v>102</v>
      </c>
      <c r="D4" s="8" t="s">
        <v>39</v>
      </c>
      <c r="E4" s="8" t="s">
        <v>31</v>
      </c>
      <c r="F4" s="8" t="s">
        <v>32</v>
      </c>
      <c r="G4" s="8" t="s">
        <v>103</v>
      </c>
      <c r="H4" s="8" t="s">
        <v>104</v>
      </c>
      <c r="I4" s="8" t="s">
        <v>105</v>
      </c>
      <c r="J4" s="8" t="s">
        <v>106</v>
      </c>
      <c r="K4" s="8" t="s">
        <v>107</v>
      </c>
      <c r="L4" s="8" t="s">
        <v>108</v>
      </c>
      <c r="M4" s="8" t="s">
        <v>109</v>
      </c>
      <c r="N4" s="8" t="s">
        <v>40</v>
      </c>
      <c r="O4" s="8" t="s">
        <v>110</v>
      </c>
      <c r="P4" s="8" t="s">
        <v>62</v>
      </c>
    </row>
    <row r="5" customFormat="false" ht="15" hidden="false" customHeight="false" outlineLevel="0" collapsed="false">
      <c r="A5" s="12" t="n">
        <v>46296</v>
      </c>
      <c r="B5" s="13" t="str">
        <f aca="false">TEXT(A5,"YYYY-MM")</f>
        <v>2026-10</v>
      </c>
      <c r="C5" s="13" t="s">
        <v>111</v>
      </c>
      <c r="D5" s="13" t="s">
        <v>41</v>
      </c>
      <c r="E5" s="17" t="s">
        <v>34</v>
      </c>
      <c r="F5" s="18" t="n">
        <f aca="false">INDEX(Setup!$B$11:$B$14,MATCH(E5,Setup!$A$11:$A$14,0))</f>
        <v>0.916</v>
      </c>
      <c r="G5" s="19" t="n">
        <v>79.516</v>
      </c>
      <c r="H5" s="20" t="n">
        <f aca="false">G5*F5</f>
        <v>72.836656</v>
      </c>
      <c r="I5" s="19" t="n">
        <v>70.82</v>
      </c>
      <c r="J5" s="20" t="n">
        <f aca="false">I5*F5</f>
        <v>64.87112</v>
      </c>
      <c r="K5" s="19" t="n">
        <v>6.806</v>
      </c>
      <c r="L5" s="20" t="n">
        <f aca="false">H5-J5-K5</f>
        <v>1.15953600000001</v>
      </c>
      <c r="M5" s="23" t="n">
        <f aca="false">IFERROR(L5/H5,0)</f>
        <v>0.0159196764881685</v>
      </c>
      <c r="N5" s="23" t="n">
        <f aca="false">INDEX(Setup!$B$19:$B$22,MATCH(D5,Setup!$A$19:$A$22,0))</f>
        <v>0.018</v>
      </c>
      <c r="O5" s="23" t="n">
        <f aca="false">M5-N5</f>
        <v>-0.00208032351183154</v>
      </c>
      <c r="P5" s="13" t="str">
        <f aca="false">IF(O5&gt;0.01,"OVER NORM",IF(O5&lt;-0.005,"BELOW NORM","OK"))</f>
        <v>OK</v>
      </c>
    </row>
    <row r="6" customFormat="false" ht="15" hidden="false" customHeight="false" outlineLevel="0" collapsed="false">
      <c r="A6" s="12" t="n">
        <v>46296</v>
      </c>
      <c r="B6" s="13" t="str">
        <f aca="false">TEXT(A6,"YYYY-MM")</f>
        <v>2026-10</v>
      </c>
      <c r="C6" s="13" t="s">
        <v>112</v>
      </c>
      <c r="D6" s="13" t="s">
        <v>43</v>
      </c>
      <c r="E6" s="17" t="s">
        <v>34</v>
      </c>
      <c r="F6" s="18" t="n">
        <f aca="false">INDEX(Setup!$B$11:$B$14,MATCH(E6,Setup!$A$11:$A$14,0))</f>
        <v>0.916</v>
      </c>
      <c r="G6" s="19" t="n">
        <v>60.679</v>
      </c>
      <c r="H6" s="20" t="n">
        <f aca="false">G6*F6</f>
        <v>55.581964</v>
      </c>
      <c r="I6" s="19" t="n">
        <v>55.623</v>
      </c>
      <c r="J6" s="20" t="n">
        <f aca="false">I6*F6</f>
        <v>50.950668</v>
      </c>
      <c r="K6" s="19" t="n">
        <v>3.292</v>
      </c>
      <c r="L6" s="20" t="n">
        <f aca="false">H6-J6-K6</f>
        <v>1.33929600000001</v>
      </c>
      <c r="M6" s="23" t="n">
        <f aca="false">IFERROR(L6/H6,0)</f>
        <v>0.0240958739781129</v>
      </c>
      <c r="N6" s="23" t="n">
        <f aca="false">INDEX(Setup!$B$19:$B$22,MATCH(D6,Setup!$A$19:$A$22,0))</f>
        <v>0.025</v>
      </c>
      <c r="O6" s="23" t="n">
        <f aca="false">M6-N6</f>
        <v>-0.000904126021887136</v>
      </c>
      <c r="P6" s="13" t="str">
        <f aca="false">IF(O6&gt;0.01,"OVER NORM",IF(O6&lt;-0.005,"BELOW NORM","OK"))</f>
        <v>OK</v>
      </c>
    </row>
    <row r="7" customFormat="false" ht="15" hidden="false" customHeight="false" outlineLevel="0" collapsed="false">
      <c r="A7" s="12" t="n">
        <v>46297</v>
      </c>
      <c r="B7" s="13" t="str">
        <f aca="false">TEXT(A7,"YYYY-MM")</f>
        <v>2026-10</v>
      </c>
      <c r="C7" s="13" t="s">
        <v>112</v>
      </c>
      <c r="D7" s="13" t="s">
        <v>43</v>
      </c>
      <c r="E7" s="17" t="s">
        <v>34</v>
      </c>
      <c r="F7" s="18" t="n">
        <f aca="false">INDEX(Setup!$B$11:$B$14,MATCH(E7,Setup!$A$11:$A$14,0))</f>
        <v>0.916</v>
      </c>
      <c r="G7" s="19" t="n">
        <v>148.141</v>
      </c>
      <c r="H7" s="20" t="n">
        <f aca="false">G7*F7</f>
        <v>135.697156</v>
      </c>
      <c r="I7" s="19" t="n">
        <v>127.619</v>
      </c>
      <c r="J7" s="20" t="n">
        <f aca="false">I7*F7</f>
        <v>116.899004</v>
      </c>
      <c r="K7" s="19" t="n">
        <v>14.991</v>
      </c>
      <c r="L7" s="20" t="n">
        <f aca="false">H7-J7-K7</f>
        <v>3.807152</v>
      </c>
      <c r="M7" s="23" t="n">
        <f aca="false">IFERROR(L7/H7,0)</f>
        <v>0.0280562401764706</v>
      </c>
      <c r="N7" s="23" t="n">
        <f aca="false">INDEX(Setup!$B$19:$B$22,MATCH(D7,Setup!$A$19:$A$22,0))</f>
        <v>0.025</v>
      </c>
      <c r="O7" s="23" t="n">
        <f aca="false">M7-N7</f>
        <v>0.00305624017647062</v>
      </c>
      <c r="P7" s="13" t="str">
        <f aca="false">IF(O7&gt;0.01,"OVER NORM",IF(O7&lt;-0.005,"BELOW NORM","OK"))</f>
        <v>OK</v>
      </c>
    </row>
    <row r="8" customFormat="false" ht="15" hidden="false" customHeight="false" outlineLevel="0" collapsed="false">
      <c r="A8" s="12" t="n">
        <v>46297</v>
      </c>
      <c r="B8" s="13" t="str">
        <f aca="false">TEXT(A8,"YYYY-MM")</f>
        <v>2026-10</v>
      </c>
      <c r="C8" s="13" t="s">
        <v>113</v>
      </c>
      <c r="D8" s="13" t="s">
        <v>44</v>
      </c>
      <c r="E8" s="17" t="s">
        <v>34</v>
      </c>
      <c r="F8" s="18" t="n">
        <f aca="false">INDEX(Setup!$B$11:$B$14,MATCH(E8,Setup!$A$11:$A$14,0))</f>
        <v>0.916</v>
      </c>
      <c r="G8" s="19" t="n">
        <v>84.17</v>
      </c>
      <c r="H8" s="20" t="n">
        <f aca="false">G8*F8</f>
        <v>77.09972</v>
      </c>
      <c r="I8" s="19" t="n">
        <v>74.077</v>
      </c>
      <c r="J8" s="20" t="n">
        <f aca="false">I8*F8</f>
        <v>67.854532</v>
      </c>
      <c r="K8" s="19" t="n">
        <v>7.07</v>
      </c>
      <c r="L8" s="20" t="n">
        <f aca="false">H8-J8-K8</f>
        <v>2.175188</v>
      </c>
      <c r="M8" s="23" t="n">
        <f aca="false">IFERROR(L8/H8,0)</f>
        <v>0.0282126575816358</v>
      </c>
      <c r="N8" s="23" t="n">
        <f aca="false">INDEX(Setup!$B$19:$B$22,MATCH(D8,Setup!$A$19:$A$22,0))</f>
        <v>0.028</v>
      </c>
      <c r="O8" s="23" t="n">
        <f aca="false">M8-N8</f>
        <v>0.000212657581635814</v>
      </c>
      <c r="P8" s="13" t="str">
        <f aca="false">IF(O8&gt;0.01,"OVER NORM",IF(O8&lt;-0.005,"BELOW NORM","OK"))</f>
        <v>OK</v>
      </c>
    </row>
    <row r="9" customFormat="false" ht="15" hidden="false" customHeight="false" outlineLevel="0" collapsed="false">
      <c r="A9" s="12" t="n">
        <v>46298</v>
      </c>
      <c r="B9" s="13" t="str">
        <f aca="false">TEXT(A9,"YYYY-MM")</f>
        <v>2026-10</v>
      </c>
      <c r="C9" s="13" t="s">
        <v>113</v>
      </c>
      <c r="D9" s="13" t="s">
        <v>44</v>
      </c>
      <c r="E9" s="17" t="s">
        <v>34</v>
      </c>
      <c r="F9" s="18" t="n">
        <f aca="false">INDEX(Setup!$B$11:$B$14,MATCH(E9,Setup!$A$11:$A$14,0))</f>
        <v>0.916</v>
      </c>
      <c r="G9" s="19" t="n">
        <v>161.006</v>
      </c>
      <c r="H9" s="20" t="n">
        <f aca="false">G9*F9</f>
        <v>147.481496</v>
      </c>
      <c r="I9" s="19" t="n">
        <v>141.446</v>
      </c>
      <c r="J9" s="20" t="n">
        <f aca="false">I9*F9</f>
        <v>129.564536</v>
      </c>
      <c r="K9" s="19" t="n">
        <v>14.986</v>
      </c>
      <c r="L9" s="20" t="n">
        <f aca="false">H9-J9-K9</f>
        <v>2.93095999999999</v>
      </c>
      <c r="M9" s="23" t="n">
        <f aca="false">IFERROR(L9/H9,0)</f>
        <v>0.0198734083901616</v>
      </c>
      <c r="N9" s="23" t="n">
        <f aca="false">INDEX(Setup!$B$19:$B$22,MATCH(D9,Setup!$A$19:$A$22,0))</f>
        <v>0.028</v>
      </c>
      <c r="O9" s="23" t="n">
        <f aca="false">M9-N9</f>
        <v>-0.00812659160983837</v>
      </c>
      <c r="P9" s="13" t="str">
        <f aca="false">IF(O9&gt;0.01,"OVER NORM",IF(O9&lt;-0.005,"BELOW NORM","OK"))</f>
        <v>BELOW NORM</v>
      </c>
    </row>
    <row r="10" customFormat="false" ht="15" hidden="false" customHeight="false" outlineLevel="0" collapsed="false">
      <c r="A10" s="12" t="n">
        <v>46298</v>
      </c>
      <c r="B10" s="13" t="str">
        <f aca="false">TEXT(A10,"YYYY-MM")</f>
        <v>2026-10</v>
      </c>
      <c r="C10" s="13" t="s">
        <v>114</v>
      </c>
      <c r="D10" s="13" t="s">
        <v>41</v>
      </c>
      <c r="E10" s="17" t="s">
        <v>34</v>
      </c>
      <c r="F10" s="18" t="n">
        <f aca="false">INDEX(Setup!$B$11:$B$14,MATCH(E10,Setup!$A$11:$A$14,0))</f>
        <v>0.916</v>
      </c>
      <c r="G10" s="19" t="n">
        <v>137.94</v>
      </c>
      <c r="H10" s="20" t="n">
        <f aca="false">G10*F10</f>
        <v>126.35304</v>
      </c>
      <c r="I10" s="19" t="n">
        <v>120.132</v>
      </c>
      <c r="J10" s="20" t="n">
        <f aca="false">I10*F10</f>
        <v>110.040912</v>
      </c>
      <c r="K10" s="19" t="n">
        <v>13.945</v>
      </c>
      <c r="L10" s="20" t="n">
        <f aca="false">H10-J10-K10</f>
        <v>2.367128</v>
      </c>
      <c r="M10" s="23" t="n">
        <f aca="false">IFERROR(L10/H10,0)</f>
        <v>0.0187342386063683</v>
      </c>
      <c r="N10" s="23" t="n">
        <f aca="false">INDEX(Setup!$B$19:$B$22,MATCH(D10,Setup!$A$19:$A$22,0))</f>
        <v>0.018</v>
      </c>
      <c r="O10" s="23" t="n">
        <f aca="false">M10-N10</f>
        <v>0.000734238606368325</v>
      </c>
      <c r="P10" s="13" t="str">
        <f aca="false">IF(O10&gt;0.01,"OVER NORM",IF(O10&lt;-0.005,"BELOW NORM","OK"))</f>
        <v>OK</v>
      </c>
    </row>
    <row r="11" customFormat="false" ht="15" hidden="false" customHeight="false" outlineLevel="0" collapsed="false">
      <c r="A11" s="12" t="n">
        <v>46298</v>
      </c>
      <c r="B11" s="13" t="str">
        <f aca="false">TEXT(A11,"YYYY-MM")</f>
        <v>2026-10</v>
      </c>
      <c r="C11" s="13" t="s">
        <v>115</v>
      </c>
      <c r="D11" s="13" t="s">
        <v>42</v>
      </c>
      <c r="E11" s="17" t="s">
        <v>34</v>
      </c>
      <c r="F11" s="18" t="n">
        <f aca="false">INDEX(Setup!$B$11:$B$14,MATCH(E11,Setup!$A$11:$A$14,0))</f>
        <v>0.916</v>
      </c>
      <c r="G11" s="19" t="n">
        <v>233.229</v>
      </c>
      <c r="H11" s="20" t="n">
        <f aca="false">G11*F11</f>
        <v>213.637764</v>
      </c>
      <c r="I11" s="19" t="n">
        <v>200.805</v>
      </c>
      <c r="J11" s="20" t="n">
        <f aca="false">I11*F11</f>
        <v>183.93738</v>
      </c>
      <c r="K11" s="19" t="n">
        <v>16.868</v>
      </c>
      <c r="L11" s="20" t="n">
        <f aca="false">H11-J11-K11</f>
        <v>12.832384</v>
      </c>
      <c r="M11" s="23" t="n">
        <f aca="false">IFERROR(L11/H11,0)</f>
        <v>0.0600660845710781</v>
      </c>
      <c r="N11" s="23" t="n">
        <f aca="false">INDEX(Setup!$B$19:$B$22,MATCH(D11,Setup!$A$19:$A$22,0))</f>
        <v>0.035</v>
      </c>
      <c r="O11" s="23" t="n">
        <f aca="false">M11-N11</f>
        <v>0.0250660845710781</v>
      </c>
      <c r="P11" s="13" t="str">
        <f aca="false">IF(O11&gt;0.01,"OVER NORM",IF(O11&lt;-0.005,"BELOW NORM","OK"))</f>
        <v>OVER NORM</v>
      </c>
    </row>
    <row r="12" customFormat="false" ht="15" hidden="false" customHeight="false" outlineLevel="0" collapsed="false">
      <c r="A12" s="12" t="n">
        <v>46300</v>
      </c>
      <c r="B12" s="13" t="str">
        <f aca="false">TEXT(A12,"YYYY-MM")</f>
        <v>2026-10</v>
      </c>
      <c r="C12" s="13" t="s">
        <v>112</v>
      </c>
      <c r="D12" s="13" t="s">
        <v>43</v>
      </c>
      <c r="E12" s="17" t="s">
        <v>34</v>
      </c>
      <c r="F12" s="18" t="n">
        <f aca="false">INDEX(Setup!$B$11:$B$14,MATCH(E12,Setup!$A$11:$A$14,0))</f>
        <v>0.916</v>
      </c>
      <c r="G12" s="19" t="n">
        <v>227.262</v>
      </c>
      <c r="H12" s="20" t="n">
        <f aca="false">G12*F12</f>
        <v>208.171992</v>
      </c>
      <c r="I12" s="19" t="n">
        <v>190.341</v>
      </c>
      <c r="J12" s="20" t="n">
        <f aca="false">I12*F12</f>
        <v>174.352356</v>
      </c>
      <c r="K12" s="19" t="n">
        <v>27.463</v>
      </c>
      <c r="L12" s="20" t="n">
        <f aca="false">H12-J12-K12</f>
        <v>6.356636</v>
      </c>
      <c r="M12" s="23" t="n">
        <f aca="false">IFERROR(L12/H12,0)</f>
        <v>0.0305355006642776</v>
      </c>
      <c r="N12" s="23" t="n">
        <f aca="false">INDEX(Setup!$B$19:$B$22,MATCH(D12,Setup!$A$19:$A$22,0))</f>
        <v>0.025</v>
      </c>
      <c r="O12" s="23" t="n">
        <f aca="false">M12-N12</f>
        <v>0.00553550066427765</v>
      </c>
      <c r="P12" s="13" t="str">
        <f aca="false">IF(O12&gt;0.01,"OVER NORM",IF(O12&lt;-0.005,"BELOW NORM","OK"))</f>
        <v>OK</v>
      </c>
    </row>
    <row r="13" customFormat="false" ht="15" hidden="false" customHeight="false" outlineLevel="0" collapsed="false">
      <c r="A13" s="12" t="n">
        <v>46300</v>
      </c>
      <c r="B13" s="13" t="str">
        <f aca="false">TEXT(A13,"YYYY-MM")</f>
        <v>2026-10</v>
      </c>
      <c r="C13" s="13" t="s">
        <v>111</v>
      </c>
      <c r="D13" s="13" t="s">
        <v>41</v>
      </c>
      <c r="E13" s="17" t="s">
        <v>34</v>
      </c>
      <c r="F13" s="18" t="n">
        <f aca="false">INDEX(Setup!$B$11:$B$14,MATCH(E13,Setup!$A$11:$A$14,0))</f>
        <v>0.916</v>
      </c>
      <c r="G13" s="19" t="n">
        <v>234.437</v>
      </c>
      <c r="H13" s="20" t="n">
        <f aca="false">G13*F13</f>
        <v>214.744292</v>
      </c>
      <c r="I13" s="19" t="n">
        <v>217.121</v>
      </c>
      <c r="J13" s="20" t="n">
        <f aca="false">I13*F13</f>
        <v>198.882836</v>
      </c>
      <c r="K13" s="19" t="n">
        <v>12.755</v>
      </c>
      <c r="L13" s="20" t="n">
        <f aca="false">H13-J13-K13</f>
        <v>3.106456</v>
      </c>
      <c r="M13" s="23" t="n">
        <f aca="false">IFERROR(L13/H13,0)</f>
        <v>0.0144658373504056</v>
      </c>
      <c r="N13" s="23" t="n">
        <f aca="false">INDEX(Setup!$B$19:$B$22,MATCH(D13,Setup!$A$19:$A$22,0))</f>
        <v>0.018</v>
      </c>
      <c r="O13" s="23" t="n">
        <f aca="false">M13-N13</f>
        <v>-0.00353416264959442</v>
      </c>
      <c r="P13" s="13" t="str">
        <f aca="false">IF(O13&gt;0.01,"OVER NORM",IF(O13&lt;-0.005,"BELOW NORM","OK"))</f>
        <v>OK</v>
      </c>
    </row>
    <row r="14" customFormat="false" ht="15" hidden="false" customHeight="false" outlineLevel="0" collapsed="false">
      <c r="A14" s="12" t="n">
        <v>46300</v>
      </c>
      <c r="B14" s="13" t="str">
        <f aca="false">TEXT(A14,"YYYY-MM")</f>
        <v>2026-10</v>
      </c>
      <c r="C14" s="13" t="s">
        <v>115</v>
      </c>
      <c r="D14" s="13" t="s">
        <v>42</v>
      </c>
      <c r="E14" s="17" t="s">
        <v>34</v>
      </c>
      <c r="F14" s="18" t="n">
        <f aca="false">INDEX(Setup!$B$11:$B$14,MATCH(E14,Setup!$A$11:$A$14,0))</f>
        <v>0.916</v>
      </c>
      <c r="G14" s="19" t="n">
        <v>97.196</v>
      </c>
      <c r="H14" s="20" t="n">
        <f aca="false">G14*F14</f>
        <v>89.031536</v>
      </c>
      <c r="I14" s="19" t="n">
        <v>83.355</v>
      </c>
      <c r="J14" s="20" t="n">
        <f aca="false">I14*F14</f>
        <v>76.35318</v>
      </c>
      <c r="K14" s="19" t="n">
        <v>7.428</v>
      </c>
      <c r="L14" s="20" t="n">
        <f aca="false">H14-J14-K14</f>
        <v>5.25035599999999</v>
      </c>
      <c r="M14" s="23" t="n">
        <f aca="false">IFERROR(L14/H14,0)</f>
        <v>0.0589718681254695</v>
      </c>
      <c r="N14" s="23" t="n">
        <f aca="false">INDEX(Setup!$B$19:$B$22,MATCH(D14,Setup!$A$19:$A$22,0))</f>
        <v>0.035</v>
      </c>
      <c r="O14" s="23" t="n">
        <f aca="false">M14-N14</f>
        <v>0.0239718681254695</v>
      </c>
      <c r="P14" s="13" t="str">
        <f aca="false">IF(O14&gt;0.01,"OVER NORM",IF(O14&lt;-0.005,"BELOW NORM","OK"))</f>
        <v>OVER NORM</v>
      </c>
    </row>
    <row r="15" customFormat="false" ht="15" hidden="false" customHeight="false" outlineLevel="0" collapsed="false">
      <c r="A15" s="12" t="n">
        <v>46301</v>
      </c>
      <c r="B15" s="13" t="str">
        <f aca="false">TEXT(A15,"YYYY-MM")</f>
        <v>2026-10</v>
      </c>
      <c r="C15" s="13" t="s">
        <v>113</v>
      </c>
      <c r="D15" s="13" t="s">
        <v>44</v>
      </c>
      <c r="E15" s="17" t="s">
        <v>34</v>
      </c>
      <c r="F15" s="18" t="n">
        <f aca="false">INDEX(Setup!$B$11:$B$14,MATCH(E15,Setup!$A$11:$A$14,0))</f>
        <v>0.916</v>
      </c>
      <c r="G15" s="19" t="n">
        <v>124.308</v>
      </c>
      <c r="H15" s="20" t="n">
        <f aca="false">G15*F15</f>
        <v>113.866128</v>
      </c>
      <c r="I15" s="19" t="n">
        <v>103.376</v>
      </c>
      <c r="J15" s="20" t="n">
        <f aca="false">I15*F15</f>
        <v>94.692416</v>
      </c>
      <c r="K15" s="19" t="n">
        <v>15.213</v>
      </c>
      <c r="L15" s="20" t="n">
        <f aca="false">H15-J15-K15</f>
        <v>3.96071200000001</v>
      </c>
      <c r="M15" s="23" t="n">
        <f aca="false">IFERROR(L15/H15,0)</f>
        <v>0.0347839350434399</v>
      </c>
      <c r="N15" s="23" t="n">
        <f aca="false">INDEX(Setup!$B$19:$B$22,MATCH(D15,Setup!$A$19:$A$22,0))</f>
        <v>0.028</v>
      </c>
      <c r="O15" s="23" t="n">
        <f aca="false">M15-N15</f>
        <v>0.00678393504343986</v>
      </c>
      <c r="P15" s="13" t="str">
        <f aca="false">IF(O15&gt;0.01,"OVER NORM",IF(O15&lt;-0.005,"BELOW NORM","OK"))</f>
        <v>OK</v>
      </c>
    </row>
    <row r="16" customFormat="false" ht="15" hidden="false" customHeight="false" outlineLevel="0" collapsed="false">
      <c r="A16" s="12" t="n">
        <v>46301</v>
      </c>
      <c r="B16" s="13" t="str">
        <f aca="false">TEXT(A16,"YYYY-MM")</f>
        <v>2026-10</v>
      </c>
      <c r="C16" s="13" t="s">
        <v>115</v>
      </c>
      <c r="D16" s="13" t="s">
        <v>42</v>
      </c>
      <c r="E16" s="17" t="s">
        <v>34</v>
      </c>
      <c r="F16" s="18" t="n">
        <f aca="false">INDEX(Setup!$B$11:$B$14,MATCH(E16,Setup!$A$11:$A$14,0))</f>
        <v>0.916</v>
      </c>
      <c r="G16" s="19" t="n">
        <v>99.208</v>
      </c>
      <c r="H16" s="20" t="n">
        <f aca="false">G16*F16</f>
        <v>90.874528</v>
      </c>
      <c r="I16" s="19" t="n">
        <v>85.605</v>
      </c>
      <c r="J16" s="20" t="n">
        <f aca="false">I16*F16</f>
        <v>78.41418</v>
      </c>
      <c r="K16" s="19" t="n">
        <v>7.505</v>
      </c>
      <c r="L16" s="20" t="n">
        <f aca="false">H16-J16-K16</f>
        <v>4.955348</v>
      </c>
      <c r="M16" s="23" t="n">
        <f aca="false">IFERROR(L16/H16,0)</f>
        <v>0.0545295597023623</v>
      </c>
      <c r="N16" s="23" t="n">
        <f aca="false">INDEX(Setup!$B$19:$B$22,MATCH(D16,Setup!$A$19:$A$22,0))</f>
        <v>0.035</v>
      </c>
      <c r="O16" s="23" t="n">
        <f aca="false">M16-N16</f>
        <v>0.0195295597023623</v>
      </c>
      <c r="P16" s="13" t="str">
        <f aca="false">IF(O16&gt;0.01,"OVER NORM",IF(O16&lt;-0.005,"BELOW NORM","OK"))</f>
        <v>OVER NORM</v>
      </c>
    </row>
    <row r="17" customFormat="false" ht="15" hidden="false" customHeight="false" outlineLevel="0" collapsed="false">
      <c r="A17" s="12" t="n">
        <v>46301</v>
      </c>
      <c r="B17" s="13" t="str">
        <f aca="false">TEXT(A17,"YYYY-MM")</f>
        <v>2026-10</v>
      </c>
      <c r="C17" s="13" t="s">
        <v>111</v>
      </c>
      <c r="D17" s="13" t="s">
        <v>41</v>
      </c>
      <c r="E17" s="17" t="s">
        <v>34</v>
      </c>
      <c r="F17" s="18" t="n">
        <f aca="false">INDEX(Setup!$B$11:$B$14,MATCH(E17,Setup!$A$11:$A$14,0))</f>
        <v>0.916</v>
      </c>
      <c r="G17" s="19" t="n">
        <v>185.17</v>
      </c>
      <c r="H17" s="20" t="n">
        <f aca="false">G17*F17</f>
        <v>169.61572</v>
      </c>
      <c r="I17" s="19" t="n">
        <v>160.91</v>
      </c>
      <c r="J17" s="20" t="n">
        <f aca="false">I17*F17</f>
        <v>147.39356</v>
      </c>
      <c r="K17" s="19" t="n">
        <v>19.15</v>
      </c>
      <c r="L17" s="20" t="n">
        <f aca="false">H17-J17-K17</f>
        <v>3.07215999999998</v>
      </c>
      <c r="M17" s="23" t="n">
        <f aca="false">IFERROR(L17/H17,0)</f>
        <v>0.0181124721222772</v>
      </c>
      <c r="N17" s="23" t="n">
        <f aca="false">INDEX(Setup!$B$19:$B$22,MATCH(D17,Setup!$A$19:$A$22,0))</f>
        <v>0.018</v>
      </c>
      <c r="O17" s="23" t="n">
        <f aca="false">M17-N17</f>
        <v>0.000112472122277205</v>
      </c>
      <c r="P17" s="13" t="str">
        <f aca="false">IF(O17&gt;0.01,"OVER NORM",IF(O17&lt;-0.005,"BELOW NORM","OK"))</f>
        <v>OK</v>
      </c>
    </row>
    <row r="18" customFormat="false" ht="15" hidden="false" customHeight="false" outlineLevel="0" collapsed="false">
      <c r="A18" s="12" t="n">
        <v>46302</v>
      </c>
      <c r="B18" s="13" t="str">
        <f aca="false">TEXT(A18,"YYYY-MM")</f>
        <v>2026-10</v>
      </c>
      <c r="C18" s="13" t="s">
        <v>115</v>
      </c>
      <c r="D18" s="13" t="s">
        <v>42</v>
      </c>
      <c r="E18" s="17" t="s">
        <v>34</v>
      </c>
      <c r="F18" s="18" t="n">
        <f aca="false">INDEX(Setup!$B$11:$B$14,MATCH(E18,Setup!$A$11:$A$14,0))</f>
        <v>0.916</v>
      </c>
      <c r="G18" s="19" t="n">
        <v>215.152</v>
      </c>
      <c r="H18" s="20" t="n">
        <f aca="false">G18*F18</f>
        <v>197.079232</v>
      </c>
      <c r="I18" s="19" t="n">
        <v>183.381</v>
      </c>
      <c r="J18" s="20" t="n">
        <f aca="false">I18*F18</f>
        <v>167.976996</v>
      </c>
      <c r="K18" s="19" t="n">
        <v>19.105</v>
      </c>
      <c r="L18" s="20" t="n">
        <f aca="false">H18-J18-K18</f>
        <v>9.99723599999998</v>
      </c>
      <c r="M18" s="23" t="n">
        <f aca="false">IFERROR(L18/H18,0)</f>
        <v>0.0507269888285336</v>
      </c>
      <c r="N18" s="23" t="n">
        <f aca="false">INDEX(Setup!$B$19:$B$22,MATCH(D18,Setup!$A$19:$A$22,0))</f>
        <v>0.035</v>
      </c>
      <c r="O18" s="23" t="n">
        <f aca="false">M18-N18</f>
        <v>0.0157269888285336</v>
      </c>
      <c r="P18" s="13" t="str">
        <f aca="false">IF(O18&gt;0.01,"OVER NORM",IF(O18&lt;-0.005,"BELOW NORM","OK"))</f>
        <v>OVER NORM</v>
      </c>
    </row>
    <row r="19" customFormat="false" ht="15" hidden="false" customHeight="false" outlineLevel="0" collapsed="false">
      <c r="A19" s="12" t="n">
        <v>46302</v>
      </c>
      <c r="B19" s="13" t="str">
        <f aca="false">TEXT(A19,"YYYY-MM")</f>
        <v>2026-10</v>
      </c>
      <c r="C19" s="13" t="s">
        <v>113</v>
      </c>
      <c r="D19" s="13" t="s">
        <v>44</v>
      </c>
      <c r="E19" s="17" t="s">
        <v>34</v>
      </c>
      <c r="F19" s="18" t="n">
        <f aca="false">INDEX(Setup!$B$11:$B$14,MATCH(E19,Setup!$A$11:$A$14,0))</f>
        <v>0.916</v>
      </c>
      <c r="G19" s="19" t="n">
        <v>64.07</v>
      </c>
      <c r="H19" s="20" t="n">
        <f aca="false">G19*F19</f>
        <v>58.68812</v>
      </c>
      <c r="I19" s="19" t="n">
        <v>56.992</v>
      </c>
      <c r="J19" s="20" t="n">
        <f aca="false">I19*F19</f>
        <v>52.204672</v>
      </c>
      <c r="K19" s="19" t="n">
        <v>5.229</v>
      </c>
      <c r="L19" s="20" t="n">
        <f aca="false">H19-J19-K19</f>
        <v>1.254448</v>
      </c>
      <c r="M19" s="23" t="n">
        <f aca="false">IFERROR(L19/H19,0)</f>
        <v>0.0213748199806025</v>
      </c>
      <c r="N19" s="23" t="n">
        <f aca="false">INDEX(Setup!$B$19:$B$22,MATCH(D19,Setup!$A$19:$A$22,0))</f>
        <v>0.028</v>
      </c>
      <c r="O19" s="23" t="n">
        <f aca="false">M19-N19</f>
        <v>-0.00662518001939753</v>
      </c>
      <c r="P19" s="13" t="str">
        <f aca="false">IF(O19&gt;0.01,"OVER NORM",IF(O19&lt;-0.005,"BELOW NORM","OK"))</f>
        <v>BELOW NORM</v>
      </c>
    </row>
    <row r="20" customFormat="false" ht="15" hidden="false" customHeight="false" outlineLevel="0" collapsed="false">
      <c r="A20" s="12" t="n">
        <v>46303</v>
      </c>
      <c r="B20" s="13" t="str">
        <f aca="false">TEXT(A20,"YYYY-MM")</f>
        <v>2026-10</v>
      </c>
      <c r="C20" s="13" t="s">
        <v>114</v>
      </c>
      <c r="D20" s="13" t="s">
        <v>41</v>
      </c>
      <c r="E20" s="17" t="s">
        <v>34</v>
      </c>
      <c r="F20" s="18" t="n">
        <f aca="false">INDEX(Setup!$B$11:$B$14,MATCH(E20,Setup!$A$11:$A$14,0))</f>
        <v>0.916</v>
      </c>
      <c r="G20" s="19" t="n">
        <v>82.889</v>
      </c>
      <c r="H20" s="20" t="n">
        <f aca="false">G20*F20</f>
        <v>75.926324</v>
      </c>
      <c r="I20" s="19" t="n">
        <v>73.382</v>
      </c>
      <c r="J20" s="20" t="n">
        <f aca="false">I20*F20</f>
        <v>67.217912</v>
      </c>
      <c r="K20" s="19" t="n">
        <v>6.956</v>
      </c>
      <c r="L20" s="20" t="n">
        <f aca="false">H20-J20-K20</f>
        <v>1.75241199999998</v>
      </c>
      <c r="M20" s="23" t="n">
        <f aca="false">IFERROR(L20/H20,0)</f>
        <v>0.0230804272836912</v>
      </c>
      <c r="N20" s="23" t="n">
        <f aca="false">INDEX(Setup!$B$19:$B$22,MATCH(D20,Setup!$A$19:$A$22,0))</f>
        <v>0.018</v>
      </c>
      <c r="O20" s="23" t="n">
        <f aca="false">M20-N20</f>
        <v>0.00508042728369124</v>
      </c>
      <c r="P20" s="13" t="str">
        <f aca="false">IF(O20&gt;0.01,"OVER NORM",IF(O20&lt;-0.005,"BELOW NORM","OK"))</f>
        <v>OK</v>
      </c>
    </row>
    <row r="21" customFormat="false" ht="15" hidden="false" customHeight="false" outlineLevel="0" collapsed="false">
      <c r="A21" s="12" t="n">
        <v>46303</v>
      </c>
      <c r="B21" s="13" t="str">
        <f aca="false">TEXT(A21,"YYYY-MM")</f>
        <v>2026-10</v>
      </c>
      <c r="C21" s="13" t="s">
        <v>115</v>
      </c>
      <c r="D21" s="13" t="s">
        <v>42</v>
      </c>
      <c r="E21" s="17" t="s">
        <v>34</v>
      </c>
      <c r="F21" s="18" t="n">
        <f aca="false">INDEX(Setup!$B$11:$B$14,MATCH(E21,Setup!$A$11:$A$14,0))</f>
        <v>0.916</v>
      </c>
      <c r="G21" s="19" t="n">
        <v>226.055</v>
      </c>
      <c r="H21" s="20" t="n">
        <f aca="false">G21*F21</f>
        <v>207.06638</v>
      </c>
      <c r="I21" s="19" t="n">
        <v>182.958</v>
      </c>
      <c r="J21" s="20" t="n">
        <f aca="false">I21*F21</f>
        <v>167.589528</v>
      </c>
      <c r="K21" s="19" t="n">
        <v>27.279</v>
      </c>
      <c r="L21" s="20" t="n">
        <f aca="false">H21-J21-K21</f>
        <v>12.197852</v>
      </c>
      <c r="M21" s="23" t="n">
        <f aca="false">IFERROR(L21/H21,0)</f>
        <v>0.0589079308770454</v>
      </c>
      <c r="N21" s="23" t="n">
        <f aca="false">INDEX(Setup!$B$19:$B$22,MATCH(D21,Setup!$A$19:$A$22,0))</f>
        <v>0.035</v>
      </c>
      <c r="O21" s="23" t="n">
        <f aca="false">M21-N21</f>
        <v>0.0239079308770454</v>
      </c>
      <c r="P21" s="13" t="str">
        <f aca="false">IF(O21&gt;0.01,"OVER NORM",IF(O21&lt;-0.005,"BELOW NORM","OK"))</f>
        <v>OVER NORM</v>
      </c>
    </row>
    <row r="22" customFormat="false" ht="15" hidden="false" customHeight="false" outlineLevel="0" collapsed="false">
      <c r="A22" s="12" t="n">
        <v>46303</v>
      </c>
      <c r="B22" s="13" t="str">
        <f aca="false">TEXT(A22,"YYYY-MM")</f>
        <v>2026-10</v>
      </c>
      <c r="C22" s="13" t="s">
        <v>112</v>
      </c>
      <c r="D22" s="13" t="s">
        <v>43</v>
      </c>
      <c r="E22" s="17" t="s">
        <v>34</v>
      </c>
      <c r="F22" s="18" t="n">
        <f aca="false">INDEX(Setup!$B$11:$B$14,MATCH(E22,Setup!$A$11:$A$14,0))</f>
        <v>0.916</v>
      </c>
      <c r="G22" s="19" t="n">
        <v>101.927</v>
      </c>
      <c r="H22" s="20" t="n">
        <f aca="false">G22*F22</f>
        <v>93.365132</v>
      </c>
      <c r="I22" s="19" t="n">
        <v>88.433</v>
      </c>
      <c r="J22" s="20" t="n">
        <f aca="false">I22*F22</f>
        <v>81.004628</v>
      </c>
      <c r="K22" s="19" t="n">
        <v>9.971</v>
      </c>
      <c r="L22" s="20" t="n">
        <f aca="false">H22-J22-K22</f>
        <v>2.38950400000001</v>
      </c>
      <c r="M22" s="23" t="n">
        <f aca="false">IFERROR(L22/H22,0)</f>
        <v>0.0255931089991926</v>
      </c>
      <c r="N22" s="23" t="n">
        <f aca="false">INDEX(Setup!$B$19:$B$22,MATCH(D22,Setup!$A$19:$A$22,0))</f>
        <v>0.025</v>
      </c>
      <c r="O22" s="23" t="n">
        <f aca="false">M22-N22</f>
        <v>0.000593108999192602</v>
      </c>
      <c r="P22" s="13" t="str">
        <f aca="false">IF(O22&gt;0.01,"OVER NORM",IF(O22&lt;-0.005,"BELOW NORM","OK"))</f>
        <v>OK</v>
      </c>
    </row>
    <row r="23" customFormat="false" ht="15" hidden="false" customHeight="false" outlineLevel="0" collapsed="false">
      <c r="A23" s="12" t="n">
        <v>46304</v>
      </c>
      <c r="B23" s="13" t="str">
        <f aca="false">TEXT(A23,"YYYY-MM")</f>
        <v>2026-10</v>
      </c>
      <c r="C23" s="13" t="s">
        <v>114</v>
      </c>
      <c r="D23" s="13" t="s">
        <v>41</v>
      </c>
      <c r="E23" s="17" t="s">
        <v>34</v>
      </c>
      <c r="F23" s="18" t="n">
        <f aca="false">INDEX(Setup!$B$11:$B$14,MATCH(E23,Setup!$A$11:$A$14,0))</f>
        <v>0.916</v>
      </c>
      <c r="G23" s="19" t="n">
        <v>204.182</v>
      </c>
      <c r="H23" s="20" t="n">
        <f aca="false">G23*F23</f>
        <v>187.030712</v>
      </c>
      <c r="I23" s="19" t="n">
        <v>179.862</v>
      </c>
      <c r="J23" s="20" t="n">
        <f aca="false">I23*F23</f>
        <v>164.753592</v>
      </c>
      <c r="K23" s="19" t="n">
        <v>17.532</v>
      </c>
      <c r="L23" s="20" t="n">
        <f aca="false">H23-J23-K23</f>
        <v>4.74512</v>
      </c>
      <c r="M23" s="23" t="n">
        <f aca="false">IFERROR(L23/H23,0)</f>
        <v>0.0253708064801678</v>
      </c>
      <c r="N23" s="23" t="n">
        <f aca="false">INDEX(Setup!$B$19:$B$22,MATCH(D23,Setup!$A$19:$A$22,0))</f>
        <v>0.018</v>
      </c>
      <c r="O23" s="23" t="n">
        <f aca="false">M23-N23</f>
        <v>0.0073708064801678</v>
      </c>
      <c r="P23" s="13" t="str">
        <f aca="false">IF(O23&gt;0.01,"OVER NORM",IF(O23&lt;-0.005,"BELOW NORM","OK"))</f>
        <v>OK</v>
      </c>
    </row>
    <row r="24" customFormat="false" ht="15" hidden="false" customHeight="false" outlineLevel="0" collapsed="false">
      <c r="A24" s="12" t="n">
        <v>46304</v>
      </c>
      <c r="B24" s="13" t="str">
        <f aca="false">TEXT(A24,"YYYY-MM")</f>
        <v>2026-10</v>
      </c>
      <c r="C24" s="13" t="s">
        <v>112</v>
      </c>
      <c r="D24" s="13" t="s">
        <v>43</v>
      </c>
      <c r="E24" s="17" t="s">
        <v>34</v>
      </c>
      <c r="F24" s="18" t="n">
        <f aca="false">INDEX(Setup!$B$11:$B$14,MATCH(E24,Setup!$A$11:$A$14,0))</f>
        <v>0.916</v>
      </c>
      <c r="G24" s="19" t="n">
        <v>71.787</v>
      </c>
      <c r="H24" s="20" t="n">
        <f aca="false">G24*F24</f>
        <v>65.756892</v>
      </c>
      <c r="I24" s="19" t="n">
        <v>62.993</v>
      </c>
      <c r="J24" s="20" t="n">
        <f aca="false">I24*F24</f>
        <v>57.701588</v>
      </c>
      <c r="K24" s="19" t="n">
        <v>5.821</v>
      </c>
      <c r="L24" s="20" t="n">
        <f aca="false">H24-J24-K24</f>
        <v>2.23430400000001</v>
      </c>
      <c r="M24" s="23" t="n">
        <f aca="false">IFERROR(L24/H24,0)</f>
        <v>0.0339782482420247</v>
      </c>
      <c r="N24" s="23" t="n">
        <f aca="false">INDEX(Setup!$B$19:$B$22,MATCH(D24,Setup!$A$19:$A$22,0))</f>
        <v>0.025</v>
      </c>
      <c r="O24" s="23" t="n">
        <f aca="false">M24-N24</f>
        <v>0.00897824824202468</v>
      </c>
      <c r="P24" s="13" t="str">
        <f aca="false">IF(O24&gt;0.01,"OVER NORM",IF(O24&lt;-0.005,"BELOW NORM","OK"))</f>
        <v>OK</v>
      </c>
    </row>
    <row r="25" customFormat="false" ht="15" hidden="false" customHeight="false" outlineLevel="0" collapsed="false">
      <c r="A25" s="12" t="n">
        <v>46305</v>
      </c>
      <c r="B25" s="13" t="str">
        <f aca="false">TEXT(A25,"YYYY-MM")</f>
        <v>2026-10</v>
      </c>
      <c r="C25" s="13" t="s">
        <v>113</v>
      </c>
      <c r="D25" s="13" t="s">
        <v>44</v>
      </c>
      <c r="E25" s="17" t="s">
        <v>34</v>
      </c>
      <c r="F25" s="18" t="n">
        <f aca="false">INDEX(Setup!$B$11:$B$14,MATCH(E25,Setup!$A$11:$A$14,0))</f>
        <v>0.916</v>
      </c>
      <c r="G25" s="19" t="n">
        <v>125.868</v>
      </c>
      <c r="H25" s="20" t="n">
        <f aca="false">G25*F25</f>
        <v>115.295088</v>
      </c>
      <c r="I25" s="19" t="n">
        <v>109.31</v>
      </c>
      <c r="J25" s="20" t="n">
        <f aca="false">I25*F25</f>
        <v>100.12796</v>
      </c>
      <c r="K25" s="19" t="n">
        <v>12.672</v>
      </c>
      <c r="L25" s="20" t="n">
        <f aca="false">H25-J25-K25</f>
        <v>2.495128</v>
      </c>
      <c r="M25" s="23" t="n">
        <f aca="false">IFERROR(L25/H25,0)</f>
        <v>0.0216412341868372</v>
      </c>
      <c r="N25" s="23" t="n">
        <f aca="false">INDEX(Setup!$B$19:$B$22,MATCH(D25,Setup!$A$19:$A$22,0))</f>
        <v>0.028</v>
      </c>
      <c r="O25" s="23" t="n">
        <f aca="false">M25-N25</f>
        <v>-0.00635876581316279</v>
      </c>
      <c r="P25" s="13" t="str">
        <f aca="false">IF(O25&gt;0.01,"OVER NORM",IF(O25&lt;-0.005,"BELOW NORM","OK"))</f>
        <v>BELOW NORM</v>
      </c>
    </row>
    <row r="26" customFormat="false" ht="15" hidden="false" customHeight="false" outlineLevel="0" collapsed="false">
      <c r="A26" s="12" t="n">
        <v>46305</v>
      </c>
      <c r="B26" s="13" t="str">
        <f aca="false">TEXT(A26,"YYYY-MM")</f>
        <v>2026-10</v>
      </c>
      <c r="C26" s="13" t="s">
        <v>112</v>
      </c>
      <c r="D26" s="13" t="s">
        <v>43</v>
      </c>
      <c r="E26" s="17" t="s">
        <v>34</v>
      </c>
      <c r="F26" s="18" t="n">
        <f aca="false">INDEX(Setup!$B$11:$B$14,MATCH(E26,Setup!$A$11:$A$14,0))</f>
        <v>0.916</v>
      </c>
      <c r="G26" s="19" t="n">
        <v>76.771</v>
      </c>
      <c r="H26" s="20" t="n">
        <f aca="false">G26*F26</f>
        <v>70.322236</v>
      </c>
      <c r="I26" s="19" t="n">
        <v>69.938</v>
      </c>
      <c r="J26" s="20" t="n">
        <f aca="false">I26*F26</f>
        <v>64.063208</v>
      </c>
      <c r="K26" s="19" t="n">
        <v>5.19</v>
      </c>
      <c r="L26" s="20" t="n">
        <f aca="false">H26-J26-K26</f>
        <v>1.069028</v>
      </c>
      <c r="M26" s="23" t="n">
        <f aca="false">IFERROR(L26/H26,0)</f>
        <v>0.0152018488149325</v>
      </c>
      <c r="N26" s="23" t="n">
        <f aca="false">INDEX(Setup!$B$19:$B$22,MATCH(D26,Setup!$A$19:$A$22,0))</f>
        <v>0.025</v>
      </c>
      <c r="O26" s="23" t="n">
        <f aca="false">M26-N26</f>
        <v>-0.00979815118506755</v>
      </c>
      <c r="P26" s="13" t="str">
        <f aca="false">IF(O26&gt;0.01,"OVER NORM",IF(O26&lt;-0.005,"BELOW NORM","OK"))</f>
        <v>BELOW NORM</v>
      </c>
    </row>
    <row r="27" customFormat="false" ht="15" hidden="false" customHeight="false" outlineLevel="0" collapsed="false">
      <c r="A27" s="12" t="n">
        <v>46307</v>
      </c>
      <c r="B27" s="13" t="str">
        <f aca="false">TEXT(A27,"YYYY-MM")</f>
        <v>2026-10</v>
      </c>
      <c r="C27" s="13" t="s">
        <v>114</v>
      </c>
      <c r="D27" s="13" t="s">
        <v>41</v>
      </c>
      <c r="E27" s="17" t="s">
        <v>34</v>
      </c>
      <c r="F27" s="18" t="n">
        <f aca="false">INDEX(Setup!$B$11:$B$14,MATCH(E27,Setup!$A$11:$A$14,0))</f>
        <v>0.916</v>
      </c>
      <c r="G27" s="19" t="n">
        <v>136.68</v>
      </c>
      <c r="H27" s="20" t="n">
        <f aca="false">G27*F27</f>
        <v>125.19888</v>
      </c>
      <c r="I27" s="19" t="n">
        <v>116.483</v>
      </c>
      <c r="J27" s="20" t="n">
        <f aca="false">I27*F27</f>
        <v>106.698428</v>
      </c>
      <c r="K27" s="19" t="n">
        <v>16.526</v>
      </c>
      <c r="L27" s="20" t="n">
        <f aca="false">H27-J27-K27</f>
        <v>1.97445200000001</v>
      </c>
      <c r="M27" s="23" t="n">
        <f aca="false">IFERROR(L27/H27,0)</f>
        <v>0.0157705244647557</v>
      </c>
      <c r="N27" s="23" t="n">
        <f aca="false">INDEX(Setup!$B$19:$B$22,MATCH(D27,Setup!$A$19:$A$22,0))</f>
        <v>0.018</v>
      </c>
      <c r="O27" s="23" t="n">
        <f aca="false">M27-N27</f>
        <v>-0.00222947553524433</v>
      </c>
      <c r="P27" s="13" t="str">
        <f aca="false">IF(O27&gt;0.01,"OVER NORM",IF(O27&lt;-0.005,"BELOW NORM","OK"))</f>
        <v>OK</v>
      </c>
    </row>
    <row r="28" customFormat="false" ht="15" hidden="false" customHeight="false" outlineLevel="0" collapsed="false">
      <c r="A28" s="12" t="n">
        <v>46307</v>
      </c>
      <c r="B28" s="13" t="str">
        <f aca="false">TEXT(A28,"YYYY-MM")</f>
        <v>2026-10</v>
      </c>
      <c r="C28" s="13" t="s">
        <v>111</v>
      </c>
      <c r="D28" s="13" t="s">
        <v>41</v>
      </c>
      <c r="E28" s="17" t="s">
        <v>34</v>
      </c>
      <c r="F28" s="18" t="n">
        <f aca="false">INDEX(Setup!$B$11:$B$14,MATCH(E28,Setup!$A$11:$A$14,0))</f>
        <v>0.916</v>
      </c>
      <c r="G28" s="19" t="n">
        <v>191.387</v>
      </c>
      <c r="H28" s="20" t="n">
        <f aca="false">G28*F28</f>
        <v>175.310492</v>
      </c>
      <c r="I28" s="19" t="n">
        <v>170.2</v>
      </c>
      <c r="J28" s="20" t="n">
        <f aca="false">I28*F28</f>
        <v>155.9032</v>
      </c>
      <c r="K28" s="19" t="n">
        <v>16.19</v>
      </c>
      <c r="L28" s="20" t="n">
        <f aca="false">H28-J28-K28</f>
        <v>3.21729200000001</v>
      </c>
      <c r="M28" s="23" t="n">
        <f aca="false">IFERROR(L28/H28,0)</f>
        <v>0.018351964924039</v>
      </c>
      <c r="N28" s="23" t="n">
        <f aca="false">INDEX(Setup!$B$19:$B$22,MATCH(D28,Setup!$A$19:$A$22,0))</f>
        <v>0.018</v>
      </c>
      <c r="O28" s="23" t="n">
        <f aca="false">M28-N28</f>
        <v>0.000351964924038953</v>
      </c>
      <c r="P28" s="13" t="str">
        <f aca="false">IF(O28&gt;0.01,"OVER NORM",IF(O28&lt;-0.005,"BELOW NORM","OK"))</f>
        <v>OK</v>
      </c>
    </row>
    <row r="29" customFormat="false" ht="15" hidden="false" customHeight="false" outlineLevel="0" collapsed="false">
      <c r="A29" s="12" t="n">
        <v>46307</v>
      </c>
      <c r="B29" s="13" t="str">
        <f aca="false">TEXT(A29,"YYYY-MM")</f>
        <v>2026-10</v>
      </c>
      <c r="C29" s="13" t="s">
        <v>115</v>
      </c>
      <c r="D29" s="13" t="s">
        <v>42</v>
      </c>
      <c r="E29" s="17" t="s">
        <v>34</v>
      </c>
      <c r="F29" s="18" t="n">
        <f aca="false">INDEX(Setup!$B$11:$B$14,MATCH(E29,Setup!$A$11:$A$14,0))</f>
        <v>0.916</v>
      </c>
      <c r="G29" s="19" t="n">
        <v>94.784</v>
      </c>
      <c r="H29" s="20" t="n">
        <f aca="false">G29*F29</f>
        <v>86.822144</v>
      </c>
      <c r="I29" s="19" t="n">
        <v>77.372</v>
      </c>
      <c r="J29" s="20" t="n">
        <f aca="false">I29*F29</f>
        <v>70.872752</v>
      </c>
      <c r="K29" s="19" t="n">
        <v>10.708</v>
      </c>
      <c r="L29" s="20" t="n">
        <f aca="false">H29-J29-K29</f>
        <v>5.241392</v>
      </c>
      <c r="M29" s="23" t="n">
        <f aca="false">IFERROR(L29/H29,0)</f>
        <v>0.0603692993345108</v>
      </c>
      <c r="N29" s="23" t="n">
        <f aca="false">INDEX(Setup!$B$19:$B$22,MATCH(D29,Setup!$A$19:$A$22,0))</f>
        <v>0.035</v>
      </c>
      <c r="O29" s="23" t="n">
        <f aca="false">M29-N29</f>
        <v>0.0253692993345108</v>
      </c>
      <c r="P29" s="13" t="str">
        <f aca="false">IF(O29&gt;0.01,"OVER NORM",IF(O29&lt;-0.005,"BELOW NORM","OK"))</f>
        <v>OVER NORM</v>
      </c>
    </row>
    <row r="30" customFormat="false" ht="15" hidden="false" customHeight="false" outlineLevel="0" collapsed="false">
      <c r="A30" s="12" t="n">
        <v>46308</v>
      </c>
      <c r="B30" s="13" t="str">
        <f aca="false">TEXT(A30,"YYYY-MM")</f>
        <v>2026-10</v>
      </c>
      <c r="C30" s="13" t="s">
        <v>114</v>
      </c>
      <c r="D30" s="13" t="s">
        <v>41</v>
      </c>
      <c r="E30" s="17" t="s">
        <v>34</v>
      </c>
      <c r="F30" s="18" t="n">
        <f aca="false">INDEX(Setup!$B$11:$B$14,MATCH(E30,Setup!$A$11:$A$14,0))</f>
        <v>0.916</v>
      </c>
      <c r="G30" s="19" t="n">
        <v>187.753</v>
      </c>
      <c r="H30" s="20" t="n">
        <f aca="false">G30*F30</f>
        <v>171.981748</v>
      </c>
      <c r="I30" s="19" t="n">
        <v>170.787</v>
      </c>
      <c r="J30" s="20" t="n">
        <f aca="false">I30*F30</f>
        <v>156.440892</v>
      </c>
      <c r="K30" s="19" t="n">
        <v>13.938</v>
      </c>
      <c r="L30" s="20" t="n">
        <f aca="false">H30-J30-K30</f>
        <v>1.60285599999996</v>
      </c>
      <c r="M30" s="23" t="n">
        <f aca="false">IFERROR(L30/H30,0)</f>
        <v>0.00931991922770759</v>
      </c>
      <c r="N30" s="23" t="n">
        <f aca="false">INDEX(Setup!$B$19:$B$22,MATCH(D30,Setup!$A$19:$A$22,0))</f>
        <v>0.018</v>
      </c>
      <c r="O30" s="23" t="n">
        <f aca="false">M30-N30</f>
        <v>-0.00868008077229241</v>
      </c>
      <c r="P30" s="13" t="str">
        <f aca="false">IF(O30&gt;0.01,"OVER NORM",IF(O30&lt;-0.005,"BELOW NORM","OK"))</f>
        <v>BELOW NORM</v>
      </c>
    </row>
    <row r="31" customFormat="false" ht="15" hidden="false" customHeight="false" outlineLevel="0" collapsed="false">
      <c r="A31" s="12" t="n">
        <v>46308</v>
      </c>
      <c r="B31" s="13" t="str">
        <f aca="false">TEXT(A31,"YYYY-MM")</f>
        <v>2026-10</v>
      </c>
      <c r="C31" s="13" t="s">
        <v>111</v>
      </c>
      <c r="D31" s="13" t="s">
        <v>41</v>
      </c>
      <c r="E31" s="17" t="s">
        <v>34</v>
      </c>
      <c r="F31" s="18" t="n">
        <f aca="false">INDEX(Setup!$B$11:$B$14,MATCH(E31,Setup!$A$11:$A$14,0))</f>
        <v>0.916</v>
      </c>
      <c r="G31" s="19" t="n">
        <v>91.328</v>
      </c>
      <c r="H31" s="20" t="n">
        <f aca="false">G31*F31</f>
        <v>83.656448</v>
      </c>
      <c r="I31" s="19" t="n">
        <v>79.623</v>
      </c>
      <c r="J31" s="20" t="n">
        <f aca="false">I31*F31</f>
        <v>72.934668</v>
      </c>
      <c r="K31" s="19" t="n">
        <v>8.945</v>
      </c>
      <c r="L31" s="20" t="n">
        <f aca="false">H31-J31-K31</f>
        <v>1.77678000000001</v>
      </c>
      <c r="M31" s="23" t="n">
        <f aca="false">IFERROR(L31/H31,0)</f>
        <v>0.0212390083786489</v>
      </c>
      <c r="N31" s="23" t="n">
        <f aca="false">INDEX(Setup!$B$19:$B$22,MATCH(D31,Setup!$A$19:$A$22,0))</f>
        <v>0.018</v>
      </c>
      <c r="O31" s="23" t="n">
        <f aca="false">M31-N31</f>
        <v>0.00323900837864894</v>
      </c>
      <c r="P31" s="13" t="str">
        <f aca="false">IF(O31&gt;0.01,"OVER NORM",IF(O31&lt;-0.005,"BELOW NORM","OK"))</f>
        <v>OK</v>
      </c>
    </row>
    <row r="32" customFormat="false" ht="15" hidden="false" customHeight="false" outlineLevel="0" collapsed="false">
      <c r="A32" s="12" t="n">
        <v>46309</v>
      </c>
      <c r="B32" s="13" t="str">
        <f aca="false">TEXT(A32,"YYYY-MM")</f>
        <v>2026-10</v>
      </c>
      <c r="C32" s="13" t="s">
        <v>114</v>
      </c>
      <c r="D32" s="13" t="s">
        <v>41</v>
      </c>
      <c r="E32" s="17" t="s">
        <v>34</v>
      </c>
      <c r="F32" s="18" t="n">
        <f aca="false">INDEX(Setup!$B$11:$B$14,MATCH(E32,Setup!$A$11:$A$14,0))</f>
        <v>0.916</v>
      </c>
      <c r="G32" s="19" t="n">
        <v>116.41</v>
      </c>
      <c r="H32" s="20" t="n">
        <f aca="false">G32*F32</f>
        <v>106.63156</v>
      </c>
      <c r="I32" s="19" t="n">
        <v>99.576</v>
      </c>
      <c r="J32" s="20" t="n">
        <f aca="false">I32*F32</f>
        <v>91.211616</v>
      </c>
      <c r="K32" s="19" t="n">
        <v>12.822</v>
      </c>
      <c r="L32" s="20" t="n">
        <f aca="false">H32-J32-K32</f>
        <v>2.59794400000002</v>
      </c>
      <c r="M32" s="23" t="n">
        <f aca="false">IFERROR(L32/H32,0)</f>
        <v>0.0243637437171511</v>
      </c>
      <c r="N32" s="23" t="n">
        <f aca="false">INDEX(Setup!$B$19:$B$22,MATCH(D32,Setup!$A$19:$A$22,0))</f>
        <v>0.018</v>
      </c>
      <c r="O32" s="23" t="n">
        <f aca="false">M32-N32</f>
        <v>0.00636374371715106</v>
      </c>
      <c r="P32" s="13" t="str">
        <f aca="false">IF(O32&gt;0.01,"OVER NORM",IF(O32&lt;-0.005,"BELOW NORM","OK"))</f>
        <v>OK</v>
      </c>
    </row>
    <row r="33" customFormat="false" ht="15" hidden="false" customHeight="false" outlineLevel="0" collapsed="false">
      <c r="A33" s="12" t="n">
        <v>46309</v>
      </c>
      <c r="B33" s="13" t="str">
        <f aca="false">TEXT(A33,"YYYY-MM")</f>
        <v>2026-10</v>
      </c>
      <c r="C33" s="13" t="s">
        <v>115</v>
      </c>
      <c r="D33" s="13" t="s">
        <v>42</v>
      </c>
      <c r="E33" s="17" t="s">
        <v>34</v>
      </c>
      <c r="F33" s="18" t="n">
        <f aca="false">INDEX(Setup!$B$11:$B$14,MATCH(E33,Setup!$A$11:$A$14,0))</f>
        <v>0.916</v>
      </c>
      <c r="G33" s="19" t="n">
        <v>202.579</v>
      </c>
      <c r="H33" s="20" t="n">
        <f aca="false">G33*F33</f>
        <v>185.562364</v>
      </c>
      <c r="I33" s="19" t="n">
        <v>178.245</v>
      </c>
      <c r="J33" s="20" t="n">
        <f aca="false">I33*F33</f>
        <v>163.27242</v>
      </c>
      <c r="K33" s="19" t="n">
        <v>12.207</v>
      </c>
      <c r="L33" s="20" t="n">
        <f aca="false">H33-J33-K33</f>
        <v>10.082944</v>
      </c>
      <c r="M33" s="23" t="n">
        <f aca="false">IFERROR(L33/H33,0)</f>
        <v>0.0543372254084885</v>
      </c>
      <c r="N33" s="23" t="n">
        <f aca="false">INDEX(Setup!$B$19:$B$22,MATCH(D33,Setup!$A$19:$A$22,0))</f>
        <v>0.035</v>
      </c>
      <c r="O33" s="23" t="n">
        <f aca="false">M33-N33</f>
        <v>0.0193372254084885</v>
      </c>
      <c r="P33" s="13" t="str">
        <f aca="false">IF(O33&gt;0.01,"OVER NORM",IF(O33&lt;-0.005,"BELOW NORM","OK"))</f>
        <v>OVER NORM</v>
      </c>
    </row>
    <row r="34" customFormat="false" ht="15" hidden="false" customHeight="false" outlineLevel="0" collapsed="false">
      <c r="A34" s="12" t="n">
        <v>46310</v>
      </c>
      <c r="B34" s="13" t="str">
        <f aca="false">TEXT(A34,"YYYY-MM")</f>
        <v>2026-10</v>
      </c>
      <c r="C34" s="13" t="s">
        <v>114</v>
      </c>
      <c r="D34" s="13" t="s">
        <v>41</v>
      </c>
      <c r="E34" s="17" t="s">
        <v>34</v>
      </c>
      <c r="F34" s="18" t="n">
        <f aca="false">INDEX(Setup!$B$11:$B$14,MATCH(E34,Setup!$A$11:$A$14,0))</f>
        <v>0.916</v>
      </c>
      <c r="G34" s="19" t="n">
        <v>206.222</v>
      </c>
      <c r="H34" s="20" t="n">
        <f aca="false">G34*F34</f>
        <v>188.899352</v>
      </c>
      <c r="I34" s="19" t="n">
        <v>189.911</v>
      </c>
      <c r="J34" s="20" t="n">
        <f aca="false">I34*F34</f>
        <v>173.958476</v>
      </c>
      <c r="K34" s="19" t="n">
        <v>11.95</v>
      </c>
      <c r="L34" s="20" t="n">
        <f aca="false">H34-J34-K34</f>
        <v>2.990876</v>
      </c>
      <c r="M34" s="23" t="n">
        <f aca="false">IFERROR(L34/H34,0)</f>
        <v>0.0158331723657792</v>
      </c>
      <c r="N34" s="23" t="n">
        <f aca="false">INDEX(Setup!$B$19:$B$22,MATCH(D34,Setup!$A$19:$A$22,0))</f>
        <v>0.018</v>
      </c>
      <c r="O34" s="23" t="n">
        <f aca="false">M34-N34</f>
        <v>-0.00216682763422077</v>
      </c>
      <c r="P34" s="13" t="str">
        <f aca="false">IF(O34&gt;0.01,"OVER NORM",IF(O34&lt;-0.005,"BELOW NORM","OK"))</f>
        <v>OK</v>
      </c>
    </row>
    <row r="35" customFormat="false" ht="15" hidden="false" customHeight="false" outlineLevel="0" collapsed="false">
      <c r="A35" s="12" t="n">
        <v>46310</v>
      </c>
      <c r="B35" s="13" t="str">
        <f aca="false">TEXT(A35,"YYYY-MM")</f>
        <v>2026-10</v>
      </c>
      <c r="C35" s="13" t="s">
        <v>112</v>
      </c>
      <c r="D35" s="13" t="s">
        <v>43</v>
      </c>
      <c r="E35" s="17" t="s">
        <v>34</v>
      </c>
      <c r="F35" s="18" t="n">
        <f aca="false">INDEX(Setup!$B$11:$B$14,MATCH(E35,Setup!$A$11:$A$14,0))</f>
        <v>0.916</v>
      </c>
      <c r="G35" s="19" t="n">
        <v>230.907</v>
      </c>
      <c r="H35" s="20" t="n">
        <f aca="false">G35*F35</f>
        <v>211.510812</v>
      </c>
      <c r="I35" s="19" t="n">
        <v>203.019</v>
      </c>
      <c r="J35" s="20" t="n">
        <f aca="false">I35*F35</f>
        <v>185.965404</v>
      </c>
      <c r="K35" s="19" t="n">
        <v>19.711</v>
      </c>
      <c r="L35" s="20" t="n">
        <f aca="false">H35-J35-K35</f>
        <v>5.83440800000001</v>
      </c>
      <c r="M35" s="23" t="n">
        <f aca="false">IFERROR(L35/H35,0)</f>
        <v>0.027584443295504</v>
      </c>
      <c r="N35" s="23" t="n">
        <f aca="false">INDEX(Setup!$B$19:$B$22,MATCH(D35,Setup!$A$19:$A$22,0))</f>
        <v>0.025</v>
      </c>
      <c r="O35" s="23" t="n">
        <f aca="false">M35-N35</f>
        <v>0.00258444329550401</v>
      </c>
      <c r="P35" s="13" t="str">
        <f aca="false">IF(O35&gt;0.01,"OVER NORM",IF(O35&lt;-0.005,"BELOW NORM","OK"))</f>
        <v>OK</v>
      </c>
    </row>
    <row r="36" customFormat="false" ht="15" hidden="false" customHeight="false" outlineLevel="0" collapsed="false">
      <c r="A36" s="12" t="n">
        <v>46310</v>
      </c>
      <c r="B36" s="13" t="str">
        <f aca="false">TEXT(A36,"YYYY-MM")</f>
        <v>2026-10</v>
      </c>
      <c r="C36" s="13" t="s">
        <v>113</v>
      </c>
      <c r="D36" s="13" t="s">
        <v>44</v>
      </c>
      <c r="E36" s="17" t="s">
        <v>34</v>
      </c>
      <c r="F36" s="18" t="n">
        <f aca="false">INDEX(Setup!$B$11:$B$14,MATCH(E36,Setup!$A$11:$A$14,0))</f>
        <v>0.916</v>
      </c>
      <c r="G36" s="19" t="n">
        <v>104.625</v>
      </c>
      <c r="H36" s="20" t="n">
        <f aca="false">G36*F36</f>
        <v>95.8365</v>
      </c>
      <c r="I36" s="19" t="n">
        <v>91.658</v>
      </c>
      <c r="J36" s="20" t="n">
        <f aca="false">I36*F36</f>
        <v>83.958728</v>
      </c>
      <c r="K36" s="19" t="n">
        <v>9.989</v>
      </c>
      <c r="L36" s="20" t="n">
        <f aca="false">H36-J36-K36</f>
        <v>1.88877199999999</v>
      </c>
      <c r="M36" s="23" t="n">
        <f aca="false">IFERROR(L36/H36,0)</f>
        <v>0.0197082739874682</v>
      </c>
      <c r="N36" s="23" t="n">
        <f aca="false">INDEX(Setup!$B$19:$B$22,MATCH(D36,Setup!$A$19:$A$22,0))</f>
        <v>0.028</v>
      </c>
      <c r="O36" s="23" t="n">
        <f aca="false">M36-N36</f>
        <v>-0.00829172601253184</v>
      </c>
      <c r="P36" s="13" t="str">
        <f aca="false">IF(O36&gt;0.01,"OVER NORM",IF(O36&lt;-0.005,"BELOW NORM","OK"))</f>
        <v>BELOW NORM</v>
      </c>
    </row>
    <row r="37" customFormat="false" ht="15" hidden="false" customHeight="false" outlineLevel="0" collapsed="false">
      <c r="A37" s="12" t="n">
        <v>46311</v>
      </c>
      <c r="B37" s="13" t="str">
        <f aca="false">TEXT(A37,"YYYY-MM")</f>
        <v>2026-10</v>
      </c>
      <c r="C37" s="13" t="s">
        <v>111</v>
      </c>
      <c r="D37" s="13" t="s">
        <v>41</v>
      </c>
      <c r="E37" s="17" t="s">
        <v>34</v>
      </c>
      <c r="F37" s="18" t="n">
        <f aca="false">INDEX(Setup!$B$11:$B$14,MATCH(E37,Setup!$A$11:$A$14,0))</f>
        <v>0.916</v>
      </c>
      <c r="G37" s="19" t="n">
        <v>97.473</v>
      </c>
      <c r="H37" s="20" t="n">
        <f aca="false">G37*F37</f>
        <v>89.285268</v>
      </c>
      <c r="I37" s="19" t="n">
        <v>90.023</v>
      </c>
      <c r="J37" s="20" t="n">
        <f aca="false">I37*F37</f>
        <v>82.461068</v>
      </c>
      <c r="K37" s="19" t="n">
        <v>5.505</v>
      </c>
      <c r="L37" s="20" t="n">
        <f aca="false">H37-J37-K37</f>
        <v>1.3192</v>
      </c>
      <c r="M37" s="23" t="n">
        <f aca="false">IFERROR(L37/H37,0)</f>
        <v>0.0147751138519291</v>
      </c>
      <c r="N37" s="23" t="n">
        <f aca="false">INDEX(Setup!$B$19:$B$22,MATCH(D37,Setup!$A$19:$A$22,0))</f>
        <v>0.018</v>
      </c>
      <c r="O37" s="23" t="n">
        <f aca="false">M37-N37</f>
        <v>-0.00322488614807087</v>
      </c>
      <c r="P37" s="13" t="str">
        <f aca="false">IF(O37&gt;0.01,"OVER NORM",IF(O37&lt;-0.005,"BELOW NORM","OK"))</f>
        <v>OK</v>
      </c>
    </row>
    <row r="38" customFormat="false" ht="15" hidden="false" customHeight="false" outlineLevel="0" collapsed="false">
      <c r="A38" s="12" t="n">
        <v>46311</v>
      </c>
      <c r="B38" s="13" t="str">
        <f aca="false">TEXT(A38,"YYYY-MM")</f>
        <v>2026-10</v>
      </c>
      <c r="C38" s="13" t="s">
        <v>112</v>
      </c>
      <c r="D38" s="13" t="s">
        <v>43</v>
      </c>
      <c r="E38" s="17" t="s">
        <v>34</v>
      </c>
      <c r="F38" s="18" t="n">
        <f aca="false">INDEX(Setup!$B$11:$B$14,MATCH(E38,Setup!$A$11:$A$14,0))</f>
        <v>0.916</v>
      </c>
      <c r="G38" s="19" t="n">
        <v>138.622</v>
      </c>
      <c r="H38" s="20" t="n">
        <f aca="false">G38*F38</f>
        <v>126.977752</v>
      </c>
      <c r="I38" s="19" t="n">
        <v>124.598</v>
      </c>
      <c r="J38" s="20" t="n">
        <f aca="false">I38*F38</f>
        <v>114.131768</v>
      </c>
      <c r="K38" s="19" t="n">
        <v>9.581</v>
      </c>
      <c r="L38" s="20" t="n">
        <f aca="false">H38-J38-K38</f>
        <v>3.26498400000002</v>
      </c>
      <c r="M38" s="23" t="n">
        <f aca="false">IFERROR(L38/H38,0)</f>
        <v>0.0257130398717408</v>
      </c>
      <c r="N38" s="23" t="n">
        <f aca="false">INDEX(Setup!$B$19:$B$22,MATCH(D38,Setup!$A$19:$A$22,0))</f>
        <v>0.025</v>
      </c>
      <c r="O38" s="23" t="n">
        <f aca="false">M38-N38</f>
        <v>0.000713039871740803</v>
      </c>
      <c r="P38" s="13" t="str">
        <f aca="false">IF(O38&gt;0.01,"OVER NORM",IF(O38&lt;-0.005,"BELOW NORM","OK"))</f>
        <v>OK</v>
      </c>
    </row>
    <row r="39" customFormat="false" ht="15" hidden="false" customHeight="false" outlineLevel="0" collapsed="false">
      <c r="A39" s="12" t="n">
        <v>46312</v>
      </c>
      <c r="B39" s="13" t="str">
        <f aca="false">TEXT(A39,"YYYY-MM")</f>
        <v>2026-10</v>
      </c>
      <c r="C39" s="13" t="s">
        <v>112</v>
      </c>
      <c r="D39" s="13" t="s">
        <v>43</v>
      </c>
      <c r="E39" s="17" t="s">
        <v>34</v>
      </c>
      <c r="F39" s="18" t="n">
        <f aca="false">INDEX(Setup!$B$11:$B$14,MATCH(E39,Setup!$A$11:$A$14,0))</f>
        <v>0.916</v>
      </c>
      <c r="G39" s="19" t="n">
        <v>204.313</v>
      </c>
      <c r="H39" s="20" t="n">
        <f aca="false">G39*F39</f>
        <v>187.150708</v>
      </c>
      <c r="I39" s="19" t="n">
        <v>178.691</v>
      </c>
      <c r="J39" s="20" t="n">
        <f aca="false">I39*F39</f>
        <v>163.680956</v>
      </c>
      <c r="K39" s="19" t="n">
        <v>19.857</v>
      </c>
      <c r="L39" s="20" t="n">
        <f aca="false">H39-J39-K39</f>
        <v>3.612752</v>
      </c>
      <c r="M39" s="23" t="n">
        <f aca="false">IFERROR(L39/H39,0)</f>
        <v>0.0193039718556662</v>
      </c>
      <c r="N39" s="23" t="n">
        <f aca="false">INDEX(Setup!$B$19:$B$22,MATCH(D39,Setup!$A$19:$A$22,0))</f>
        <v>0.025</v>
      </c>
      <c r="O39" s="23" t="n">
        <f aca="false">M39-N39</f>
        <v>-0.00569602814433382</v>
      </c>
      <c r="P39" s="13" t="str">
        <f aca="false">IF(O39&gt;0.01,"OVER NORM",IF(O39&lt;-0.005,"BELOW NORM","OK"))</f>
        <v>BELOW NORM</v>
      </c>
    </row>
    <row r="40" customFormat="false" ht="15" hidden="false" customHeight="false" outlineLevel="0" collapsed="false">
      <c r="A40" s="12" t="n">
        <v>46312</v>
      </c>
      <c r="B40" s="13" t="str">
        <f aca="false">TEXT(A40,"YYYY-MM")</f>
        <v>2026-10</v>
      </c>
      <c r="C40" s="13" t="s">
        <v>113</v>
      </c>
      <c r="D40" s="13" t="s">
        <v>44</v>
      </c>
      <c r="E40" s="17" t="s">
        <v>34</v>
      </c>
      <c r="F40" s="18" t="n">
        <f aca="false">INDEX(Setup!$B$11:$B$14,MATCH(E40,Setup!$A$11:$A$14,0))</f>
        <v>0.916</v>
      </c>
      <c r="G40" s="19" t="n">
        <v>196.001</v>
      </c>
      <c r="H40" s="20" t="n">
        <f aca="false">G40*F40</f>
        <v>179.536916</v>
      </c>
      <c r="I40" s="19" t="n">
        <v>172.947</v>
      </c>
      <c r="J40" s="20" t="n">
        <f aca="false">I40*F40</f>
        <v>158.419452</v>
      </c>
      <c r="K40" s="19" t="n">
        <v>17.217</v>
      </c>
      <c r="L40" s="20" t="n">
        <f aca="false">H40-J40-K40</f>
        <v>3.90046400000001</v>
      </c>
      <c r="M40" s="23" t="n">
        <f aca="false">IFERROR(L40/H40,0)</f>
        <v>0.0217251364616289</v>
      </c>
      <c r="N40" s="23" t="n">
        <f aca="false">INDEX(Setup!$B$19:$B$22,MATCH(D40,Setup!$A$19:$A$22,0))</f>
        <v>0.028</v>
      </c>
      <c r="O40" s="23" t="n">
        <f aca="false">M40-N40</f>
        <v>-0.00627486353837106</v>
      </c>
      <c r="P40" s="13" t="str">
        <f aca="false">IF(O40&gt;0.01,"OVER NORM",IF(O40&lt;-0.005,"BELOW NORM","OK"))</f>
        <v>BELOW NORM</v>
      </c>
    </row>
    <row r="41" customFormat="false" ht="15" hidden="false" customHeight="false" outlineLevel="0" collapsed="false">
      <c r="A41" s="12" t="n">
        <v>46314</v>
      </c>
      <c r="B41" s="13" t="str">
        <f aca="false">TEXT(A41,"YYYY-MM")</f>
        <v>2026-10</v>
      </c>
      <c r="C41" s="13" t="s">
        <v>115</v>
      </c>
      <c r="D41" s="13" t="s">
        <v>42</v>
      </c>
      <c r="E41" s="17" t="s">
        <v>34</v>
      </c>
      <c r="F41" s="18" t="n">
        <f aca="false">INDEX(Setup!$B$11:$B$14,MATCH(E41,Setup!$A$11:$A$14,0))</f>
        <v>0.916</v>
      </c>
      <c r="G41" s="19" t="n">
        <v>139.307</v>
      </c>
      <c r="H41" s="20" t="n">
        <f aca="false">G41*F41</f>
        <v>127.605212</v>
      </c>
      <c r="I41" s="19" t="n">
        <v>120.719</v>
      </c>
      <c r="J41" s="20" t="n">
        <f aca="false">I41*F41</f>
        <v>110.578604</v>
      </c>
      <c r="K41" s="19" t="n">
        <v>9.106</v>
      </c>
      <c r="L41" s="20" t="n">
        <f aca="false">H41-J41-K41</f>
        <v>7.920608</v>
      </c>
      <c r="M41" s="23" t="n">
        <f aca="false">IFERROR(L41/H41,0)</f>
        <v>0.0620711950229744</v>
      </c>
      <c r="N41" s="23" t="n">
        <f aca="false">INDEX(Setup!$B$19:$B$22,MATCH(D41,Setup!$A$19:$A$22,0))</f>
        <v>0.035</v>
      </c>
      <c r="O41" s="23" t="n">
        <f aca="false">M41-N41</f>
        <v>0.0270711950229744</v>
      </c>
      <c r="P41" s="13" t="str">
        <f aca="false">IF(O41&gt;0.01,"OVER NORM",IF(O41&lt;-0.005,"BELOW NORM","OK"))</f>
        <v>OVER NORM</v>
      </c>
    </row>
    <row r="42" customFormat="false" ht="15" hidden="false" customHeight="false" outlineLevel="0" collapsed="false">
      <c r="A42" s="12" t="n">
        <v>46314</v>
      </c>
      <c r="B42" s="13" t="str">
        <f aca="false">TEXT(A42,"YYYY-MM")</f>
        <v>2026-10</v>
      </c>
      <c r="C42" s="13" t="s">
        <v>113</v>
      </c>
      <c r="D42" s="13" t="s">
        <v>44</v>
      </c>
      <c r="E42" s="17" t="s">
        <v>34</v>
      </c>
      <c r="F42" s="18" t="n">
        <f aca="false">INDEX(Setup!$B$11:$B$14,MATCH(E42,Setup!$A$11:$A$14,0))</f>
        <v>0.916</v>
      </c>
      <c r="G42" s="19" t="n">
        <v>182.144</v>
      </c>
      <c r="H42" s="20" t="n">
        <f aca="false">G42*F42</f>
        <v>166.843904</v>
      </c>
      <c r="I42" s="19" t="n">
        <v>156.245</v>
      </c>
      <c r="J42" s="20" t="n">
        <f aca="false">I42*F42</f>
        <v>143.12042</v>
      </c>
      <c r="K42" s="19" t="n">
        <v>20.271</v>
      </c>
      <c r="L42" s="20" t="n">
        <f aca="false">H42-J42-K42</f>
        <v>3.45248400000001</v>
      </c>
      <c r="M42" s="23" t="n">
        <f aca="false">IFERROR(L42/H42,0)</f>
        <v>0.0206928986749196</v>
      </c>
      <c r="N42" s="23" t="n">
        <f aca="false">INDEX(Setup!$B$19:$B$22,MATCH(D42,Setup!$A$19:$A$22,0))</f>
        <v>0.028</v>
      </c>
      <c r="O42" s="23" t="n">
        <f aca="false">M42-N42</f>
        <v>-0.0073071013250804</v>
      </c>
      <c r="P42" s="13" t="str">
        <f aca="false">IF(O42&gt;0.01,"OVER NORM",IF(O42&lt;-0.005,"BELOW NORM","OK"))</f>
        <v>BELOW NORM</v>
      </c>
    </row>
    <row r="43" customFormat="false" ht="15" hidden="false" customHeight="false" outlineLevel="0" collapsed="false">
      <c r="A43" s="12" t="n">
        <v>46315</v>
      </c>
      <c r="B43" s="13" t="str">
        <f aca="false">TEXT(A43,"YYYY-MM")</f>
        <v>2026-10</v>
      </c>
      <c r="C43" s="13" t="s">
        <v>115</v>
      </c>
      <c r="D43" s="13" t="s">
        <v>42</v>
      </c>
      <c r="E43" s="17" t="s">
        <v>34</v>
      </c>
      <c r="F43" s="18" t="n">
        <f aca="false">INDEX(Setup!$B$11:$B$14,MATCH(E43,Setup!$A$11:$A$14,0))</f>
        <v>0.916</v>
      </c>
      <c r="G43" s="19" t="n">
        <v>232.293</v>
      </c>
      <c r="H43" s="20" t="n">
        <f aca="false">G43*F43</f>
        <v>212.780388</v>
      </c>
      <c r="I43" s="19" t="n">
        <v>201.616</v>
      </c>
      <c r="J43" s="20" t="n">
        <f aca="false">I43*F43</f>
        <v>184.680256</v>
      </c>
      <c r="K43" s="19" t="n">
        <v>15.421</v>
      </c>
      <c r="L43" s="20" t="n">
        <f aca="false">H43-J43-K43</f>
        <v>12.679132</v>
      </c>
      <c r="M43" s="23" t="n">
        <f aca="false">IFERROR(L43/H43,0)</f>
        <v>0.0595878789355342</v>
      </c>
      <c r="N43" s="23" t="n">
        <f aca="false">INDEX(Setup!$B$19:$B$22,MATCH(D43,Setup!$A$19:$A$22,0))</f>
        <v>0.035</v>
      </c>
      <c r="O43" s="23" t="n">
        <f aca="false">M43-N43</f>
        <v>0.0245878789355342</v>
      </c>
      <c r="P43" s="13" t="str">
        <f aca="false">IF(O43&gt;0.01,"OVER NORM",IF(O43&lt;-0.005,"BELOW NORM","OK"))</f>
        <v>OVER NORM</v>
      </c>
    </row>
    <row r="44" customFormat="false" ht="15" hidden="false" customHeight="false" outlineLevel="0" collapsed="false">
      <c r="A44" s="12" t="n">
        <v>46315</v>
      </c>
      <c r="B44" s="13" t="str">
        <f aca="false">TEXT(A44,"YYYY-MM")</f>
        <v>2026-10</v>
      </c>
      <c r="C44" s="13" t="s">
        <v>114</v>
      </c>
      <c r="D44" s="13" t="s">
        <v>41</v>
      </c>
      <c r="E44" s="17" t="s">
        <v>34</v>
      </c>
      <c r="F44" s="18" t="n">
        <f aca="false">INDEX(Setup!$B$11:$B$14,MATCH(E44,Setup!$A$11:$A$14,0))</f>
        <v>0.916</v>
      </c>
      <c r="G44" s="19" t="n">
        <v>178.43</v>
      </c>
      <c r="H44" s="20" t="n">
        <f aca="false">G44*F44</f>
        <v>163.44188</v>
      </c>
      <c r="I44" s="19" t="n">
        <v>154.414</v>
      </c>
      <c r="J44" s="20" t="n">
        <f aca="false">I44*F44</f>
        <v>141.443224</v>
      </c>
      <c r="K44" s="19" t="n">
        <v>18.541</v>
      </c>
      <c r="L44" s="20" t="n">
        <f aca="false">H44-J44-K44</f>
        <v>3.45765600000004</v>
      </c>
      <c r="M44" s="23" t="n">
        <f aca="false">IFERROR(L44/H44,0)</f>
        <v>0.0211552632654497</v>
      </c>
      <c r="N44" s="23" t="n">
        <f aca="false">INDEX(Setup!$B$19:$B$22,MATCH(D44,Setup!$A$19:$A$22,0))</f>
        <v>0.018</v>
      </c>
      <c r="O44" s="23" t="n">
        <f aca="false">M44-N44</f>
        <v>0.00315526326544971</v>
      </c>
      <c r="P44" s="13" t="str">
        <f aca="false">IF(O44&gt;0.01,"OVER NORM",IF(O44&lt;-0.005,"BELOW NORM","OK"))</f>
        <v>OK</v>
      </c>
    </row>
    <row r="45" customFormat="false" ht="15" hidden="false" customHeight="false" outlineLevel="0" collapsed="false">
      <c r="A45" s="12" t="n">
        <v>46315</v>
      </c>
      <c r="B45" s="13" t="str">
        <f aca="false">TEXT(A45,"YYYY-MM")</f>
        <v>2026-10</v>
      </c>
      <c r="C45" s="13" t="s">
        <v>113</v>
      </c>
      <c r="D45" s="13" t="s">
        <v>44</v>
      </c>
      <c r="E45" s="17" t="s">
        <v>34</v>
      </c>
      <c r="F45" s="18" t="n">
        <f aca="false">INDEX(Setup!$B$11:$B$14,MATCH(E45,Setup!$A$11:$A$14,0))</f>
        <v>0.916</v>
      </c>
      <c r="G45" s="19" t="n">
        <v>137.518</v>
      </c>
      <c r="H45" s="20" t="n">
        <f aca="false">G45*F45</f>
        <v>125.966488</v>
      </c>
      <c r="I45" s="19" t="n">
        <v>115.034</v>
      </c>
      <c r="J45" s="20" t="n">
        <f aca="false">I45*F45</f>
        <v>105.371144</v>
      </c>
      <c r="K45" s="19" t="n">
        <v>17.035</v>
      </c>
      <c r="L45" s="20" t="n">
        <f aca="false">H45-J45-K45</f>
        <v>3.560344</v>
      </c>
      <c r="M45" s="23" t="n">
        <f aca="false">IFERROR(L45/H45,0)</f>
        <v>0.0282642157968237</v>
      </c>
      <c r="N45" s="23" t="n">
        <f aca="false">INDEX(Setup!$B$19:$B$22,MATCH(D45,Setup!$A$19:$A$22,0))</f>
        <v>0.028</v>
      </c>
      <c r="O45" s="23" t="n">
        <f aca="false">M45-N45</f>
        <v>0.00026421579682365</v>
      </c>
      <c r="P45" s="13" t="str">
        <f aca="false">IF(O45&gt;0.01,"OVER NORM",IF(O45&lt;-0.005,"BELOW NORM","OK"))</f>
        <v>OK</v>
      </c>
    </row>
    <row r="46" customFormat="false" ht="15" hidden="false" customHeight="false" outlineLevel="0" collapsed="false">
      <c r="A46" s="12" t="n">
        <v>46316</v>
      </c>
      <c r="B46" s="13" t="str">
        <f aca="false">TEXT(A46,"YYYY-MM")</f>
        <v>2026-10</v>
      </c>
      <c r="C46" s="13" t="s">
        <v>113</v>
      </c>
      <c r="D46" s="13" t="s">
        <v>44</v>
      </c>
      <c r="E46" s="17" t="s">
        <v>34</v>
      </c>
      <c r="F46" s="18" t="n">
        <f aca="false">INDEX(Setup!$B$11:$B$14,MATCH(E46,Setup!$A$11:$A$14,0))</f>
        <v>0.916</v>
      </c>
      <c r="G46" s="19" t="n">
        <v>124.939</v>
      </c>
      <c r="H46" s="20" t="n">
        <f aca="false">G46*F46</f>
        <v>114.444124</v>
      </c>
      <c r="I46" s="19" t="n">
        <v>105.736</v>
      </c>
      <c r="J46" s="20" t="n">
        <f aca="false">I46*F46</f>
        <v>96.854176</v>
      </c>
      <c r="K46" s="19" t="n">
        <v>13.927</v>
      </c>
      <c r="L46" s="20" t="n">
        <f aca="false">H46-J46-K46</f>
        <v>3.66294799999999</v>
      </c>
      <c r="M46" s="23" t="n">
        <f aca="false">IFERROR(L46/H46,0)</f>
        <v>0.0320064313655806</v>
      </c>
      <c r="N46" s="23" t="n">
        <f aca="false">INDEX(Setup!$B$19:$B$22,MATCH(D46,Setup!$A$19:$A$22,0))</f>
        <v>0.028</v>
      </c>
      <c r="O46" s="23" t="n">
        <f aca="false">M46-N46</f>
        <v>0.00400643136558057</v>
      </c>
      <c r="P46" s="13" t="str">
        <f aca="false">IF(O46&gt;0.01,"OVER NORM",IF(O46&lt;-0.005,"BELOW NORM","OK"))</f>
        <v>OK</v>
      </c>
    </row>
    <row r="47" customFormat="false" ht="15" hidden="false" customHeight="false" outlineLevel="0" collapsed="false">
      <c r="A47" s="12" t="n">
        <v>46316</v>
      </c>
      <c r="B47" s="13" t="str">
        <f aca="false">TEXT(A47,"YYYY-MM")</f>
        <v>2026-10</v>
      </c>
      <c r="C47" s="13" t="s">
        <v>112</v>
      </c>
      <c r="D47" s="13" t="s">
        <v>43</v>
      </c>
      <c r="E47" s="17" t="s">
        <v>34</v>
      </c>
      <c r="F47" s="18" t="n">
        <f aca="false">INDEX(Setup!$B$11:$B$14,MATCH(E47,Setup!$A$11:$A$14,0))</f>
        <v>0.916</v>
      </c>
      <c r="G47" s="19" t="n">
        <v>85.896</v>
      </c>
      <c r="H47" s="20" t="n">
        <f aca="false">G47*F47</f>
        <v>78.680736</v>
      </c>
      <c r="I47" s="19" t="n">
        <v>76.347</v>
      </c>
      <c r="J47" s="20" t="n">
        <f aca="false">I47*F47</f>
        <v>69.933852</v>
      </c>
      <c r="K47" s="19" t="n">
        <v>6.867</v>
      </c>
      <c r="L47" s="20" t="n">
        <f aca="false">H47-J47-K47</f>
        <v>1.87988400000001</v>
      </c>
      <c r="M47" s="23" t="n">
        <f aca="false">IFERROR(L47/H47,0)</f>
        <v>0.0238925573853301</v>
      </c>
      <c r="N47" s="23" t="n">
        <f aca="false">INDEX(Setup!$B$19:$B$22,MATCH(D47,Setup!$A$19:$A$22,0))</f>
        <v>0.025</v>
      </c>
      <c r="O47" s="23" t="n">
        <f aca="false">M47-N47</f>
        <v>-0.0011074426146699</v>
      </c>
      <c r="P47" s="13" t="str">
        <f aca="false">IF(O47&gt;0.01,"OVER NORM",IF(O47&lt;-0.005,"BELOW NORM","OK"))</f>
        <v>OK</v>
      </c>
    </row>
    <row r="48" customFormat="false" ht="15" hidden="false" customHeight="false" outlineLevel="0" collapsed="false">
      <c r="A48" s="12" t="n">
        <v>46316</v>
      </c>
      <c r="B48" s="13" t="str">
        <f aca="false">TEXT(A48,"YYYY-MM")</f>
        <v>2026-10</v>
      </c>
      <c r="C48" s="13" t="s">
        <v>114</v>
      </c>
      <c r="D48" s="13" t="s">
        <v>41</v>
      </c>
      <c r="E48" s="17" t="s">
        <v>34</v>
      </c>
      <c r="F48" s="18" t="n">
        <f aca="false">INDEX(Setup!$B$11:$B$14,MATCH(E48,Setup!$A$11:$A$14,0))</f>
        <v>0.916</v>
      </c>
      <c r="G48" s="19" t="n">
        <v>225.889</v>
      </c>
      <c r="H48" s="20" t="n">
        <f aca="false">G48*F48</f>
        <v>206.914324</v>
      </c>
      <c r="I48" s="19" t="n">
        <v>197.192</v>
      </c>
      <c r="J48" s="20" t="n">
        <f aca="false">I48*F48</f>
        <v>180.627872</v>
      </c>
      <c r="K48" s="19" t="n">
        <v>22.534</v>
      </c>
      <c r="L48" s="20" t="n">
        <f aca="false">H48-J48-K48</f>
        <v>3.752452</v>
      </c>
      <c r="M48" s="23" t="n">
        <f aca="false">IFERROR(L48/H48,0)</f>
        <v>0.0181352935237098</v>
      </c>
      <c r="N48" s="23" t="n">
        <f aca="false">INDEX(Setup!$B$19:$B$22,MATCH(D48,Setup!$A$19:$A$22,0))</f>
        <v>0.018</v>
      </c>
      <c r="O48" s="23" t="n">
        <f aca="false">M48-N48</f>
        <v>0.000135293523709834</v>
      </c>
      <c r="P48" s="13" t="str">
        <f aca="false">IF(O48&gt;0.01,"OVER NORM",IF(O48&lt;-0.005,"BELOW NORM","OK"))</f>
        <v>OK</v>
      </c>
    </row>
    <row r="49" customFormat="false" ht="15" hidden="false" customHeight="false" outlineLevel="0" collapsed="false">
      <c r="A49" s="12" t="n">
        <v>46317</v>
      </c>
      <c r="B49" s="13" t="str">
        <f aca="false">TEXT(A49,"YYYY-MM")</f>
        <v>2026-10</v>
      </c>
      <c r="C49" s="13" t="s">
        <v>113</v>
      </c>
      <c r="D49" s="13" t="s">
        <v>44</v>
      </c>
      <c r="E49" s="17" t="s">
        <v>34</v>
      </c>
      <c r="F49" s="18" t="n">
        <f aca="false">INDEX(Setup!$B$11:$B$14,MATCH(E49,Setup!$A$11:$A$14,0))</f>
        <v>0.916</v>
      </c>
      <c r="G49" s="19" t="n">
        <v>179.984</v>
      </c>
      <c r="H49" s="20" t="n">
        <f aca="false">G49*F49</f>
        <v>164.865344</v>
      </c>
      <c r="I49" s="19" t="n">
        <v>155.104</v>
      </c>
      <c r="J49" s="20" t="n">
        <f aca="false">I49*F49</f>
        <v>142.075264</v>
      </c>
      <c r="K49" s="19" t="n">
        <v>16.922</v>
      </c>
      <c r="L49" s="20" t="n">
        <f aca="false">H49-J49-K49</f>
        <v>5.86808000000002</v>
      </c>
      <c r="M49" s="23" t="n">
        <f aca="false">IFERROR(L49/H49,0)</f>
        <v>0.0355931686892305</v>
      </c>
      <c r="N49" s="23" t="n">
        <f aca="false">INDEX(Setup!$B$19:$B$22,MATCH(D49,Setup!$A$19:$A$22,0))</f>
        <v>0.028</v>
      </c>
      <c r="O49" s="23" t="n">
        <f aca="false">M49-N49</f>
        <v>0.0075931686892305</v>
      </c>
      <c r="P49" s="13" t="str">
        <f aca="false">IF(O49&gt;0.01,"OVER NORM",IF(O49&lt;-0.005,"BELOW NORM","OK"))</f>
        <v>OK</v>
      </c>
    </row>
    <row r="50" customFormat="false" ht="15" hidden="false" customHeight="false" outlineLevel="0" collapsed="false">
      <c r="A50" s="12" t="n">
        <v>46317</v>
      </c>
      <c r="B50" s="13" t="str">
        <f aca="false">TEXT(A50,"YYYY-MM")</f>
        <v>2026-10</v>
      </c>
      <c r="C50" s="13" t="s">
        <v>111</v>
      </c>
      <c r="D50" s="13" t="s">
        <v>41</v>
      </c>
      <c r="E50" s="17" t="s">
        <v>34</v>
      </c>
      <c r="F50" s="18" t="n">
        <f aca="false">INDEX(Setup!$B$11:$B$14,MATCH(E50,Setup!$A$11:$A$14,0))</f>
        <v>0.916</v>
      </c>
      <c r="G50" s="19" t="n">
        <v>176.918</v>
      </c>
      <c r="H50" s="20" t="n">
        <f aca="false">G50*F50</f>
        <v>162.056888</v>
      </c>
      <c r="I50" s="19" t="n">
        <v>154.303</v>
      </c>
      <c r="J50" s="20" t="n">
        <f aca="false">I50*F50</f>
        <v>141.341548</v>
      </c>
      <c r="K50" s="19" t="n">
        <v>16.418</v>
      </c>
      <c r="L50" s="20" t="n">
        <f aca="false">H50-J50-K50</f>
        <v>4.29734</v>
      </c>
      <c r="M50" s="23" t="n">
        <f aca="false">IFERROR(L50/H50,0)</f>
        <v>0.0265174782327055</v>
      </c>
      <c r="N50" s="23" t="n">
        <f aca="false">INDEX(Setup!$B$19:$B$22,MATCH(D50,Setup!$A$19:$A$22,0))</f>
        <v>0.018</v>
      </c>
      <c r="O50" s="23" t="n">
        <f aca="false">M50-N50</f>
        <v>0.00851747823270553</v>
      </c>
      <c r="P50" s="13" t="str">
        <f aca="false">IF(O50&gt;0.01,"OVER NORM",IF(O50&lt;-0.005,"BELOW NORM","OK"))</f>
        <v>OK</v>
      </c>
    </row>
    <row r="51" customFormat="false" ht="15" hidden="false" customHeight="false" outlineLevel="0" collapsed="false">
      <c r="A51" s="12" t="n">
        <v>46318</v>
      </c>
      <c r="B51" s="13" t="str">
        <f aca="false">TEXT(A51,"YYYY-MM")</f>
        <v>2026-10</v>
      </c>
      <c r="C51" s="13" t="s">
        <v>111</v>
      </c>
      <c r="D51" s="13" t="s">
        <v>41</v>
      </c>
      <c r="E51" s="17" t="s">
        <v>34</v>
      </c>
      <c r="F51" s="18" t="n">
        <f aca="false">INDEX(Setup!$B$11:$B$14,MATCH(E51,Setup!$A$11:$A$14,0))</f>
        <v>0.916</v>
      </c>
      <c r="G51" s="19" t="n">
        <v>88.32</v>
      </c>
      <c r="H51" s="20" t="n">
        <f aca="false">G51*F51</f>
        <v>80.90112</v>
      </c>
      <c r="I51" s="19" t="n">
        <v>77.564</v>
      </c>
      <c r="J51" s="20" t="n">
        <f aca="false">I51*F51</f>
        <v>71.048624</v>
      </c>
      <c r="K51" s="19" t="n">
        <v>8.478</v>
      </c>
      <c r="L51" s="20" t="n">
        <f aca="false">H51-J51-K51</f>
        <v>1.374496</v>
      </c>
      <c r="M51" s="23" t="n">
        <f aca="false">IFERROR(L51/H51,0)</f>
        <v>0.0169898265932536</v>
      </c>
      <c r="N51" s="23" t="n">
        <f aca="false">INDEX(Setup!$B$19:$B$22,MATCH(D51,Setup!$A$19:$A$22,0))</f>
        <v>0.018</v>
      </c>
      <c r="O51" s="23" t="n">
        <f aca="false">M51-N51</f>
        <v>-0.00101017340674638</v>
      </c>
      <c r="P51" s="13" t="str">
        <f aca="false">IF(O51&gt;0.01,"OVER NORM",IF(O51&lt;-0.005,"BELOW NORM","OK"))</f>
        <v>OK</v>
      </c>
    </row>
    <row r="52" customFormat="false" ht="15" hidden="false" customHeight="false" outlineLevel="0" collapsed="false">
      <c r="A52" s="12" t="n">
        <v>46318</v>
      </c>
      <c r="B52" s="13" t="str">
        <f aca="false">TEXT(A52,"YYYY-MM")</f>
        <v>2026-10</v>
      </c>
      <c r="C52" s="13" t="s">
        <v>114</v>
      </c>
      <c r="D52" s="13" t="s">
        <v>41</v>
      </c>
      <c r="E52" s="17" t="s">
        <v>34</v>
      </c>
      <c r="F52" s="18" t="n">
        <f aca="false">INDEX(Setup!$B$11:$B$14,MATCH(E52,Setup!$A$11:$A$14,0))</f>
        <v>0.916</v>
      </c>
      <c r="G52" s="19" t="n">
        <v>57.633</v>
      </c>
      <c r="H52" s="20" t="n">
        <f aca="false">G52*F52</f>
        <v>52.791828</v>
      </c>
      <c r="I52" s="19" t="n">
        <v>49.69</v>
      </c>
      <c r="J52" s="20" t="n">
        <f aca="false">I52*F52</f>
        <v>45.51604</v>
      </c>
      <c r="K52" s="19" t="n">
        <v>6.017</v>
      </c>
      <c r="L52" s="20" t="n">
        <f aca="false">H52-J52-K52</f>
        <v>1.25878800000001</v>
      </c>
      <c r="M52" s="23" t="n">
        <f aca="false">IFERROR(L52/H52,0)</f>
        <v>0.0238443722767093</v>
      </c>
      <c r="N52" s="23" t="n">
        <f aca="false">INDEX(Setup!$B$19:$B$22,MATCH(D52,Setup!$A$19:$A$22,0))</f>
        <v>0.018</v>
      </c>
      <c r="O52" s="23" t="n">
        <f aca="false">M52-N52</f>
        <v>0.00584437227670929</v>
      </c>
      <c r="P52" s="13" t="str">
        <f aca="false">IF(O52&gt;0.01,"OVER NORM",IF(O52&lt;-0.005,"BELOW NORM","OK"))</f>
        <v>OK</v>
      </c>
    </row>
    <row r="53" customFormat="false" ht="15" hidden="false" customHeight="false" outlineLevel="0" collapsed="false">
      <c r="A53" s="12" t="n">
        <v>46319</v>
      </c>
      <c r="B53" s="13" t="str">
        <f aca="false">TEXT(A53,"YYYY-MM")</f>
        <v>2026-10</v>
      </c>
      <c r="C53" s="13" t="s">
        <v>114</v>
      </c>
      <c r="D53" s="13" t="s">
        <v>41</v>
      </c>
      <c r="E53" s="17" t="s">
        <v>34</v>
      </c>
      <c r="F53" s="18" t="n">
        <f aca="false">INDEX(Setup!$B$11:$B$14,MATCH(E53,Setup!$A$11:$A$14,0))</f>
        <v>0.916</v>
      </c>
      <c r="G53" s="19" t="n">
        <v>98.258</v>
      </c>
      <c r="H53" s="20" t="n">
        <f aca="false">G53*F53</f>
        <v>90.004328</v>
      </c>
      <c r="I53" s="19" t="n">
        <v>85.518</v>
      </c>
      <c r="J53" s="20" t="n">
        <f aca="false">I53*F53</f>
        <v>78.334488</v>
      </c>
      <c r="K53" s="19" t="n">
        <v>9.761</v>
      </c>
      <c r="L53" s="20" t="n">
        <f aca="false">H53-J53-K53</f>
        <v>1.90883999999999</v>
      </c>
      <c r="M53" s="23" t="n">
        <f aca="false">IFERROR(L53/H53,0)</f>
        <v>0.0212083134491043</v>
      </c>
      <c r="N53" s="23" t="n">
        <f aca="false">INDEX(Setup!$B$19:$B$22,MATCH(D53,Setup!$A$19:$A$22,0))</f>
        <v>0.018</v>
      </c>
      <c r="O53" s="23" t="n">
        <f aca="false">M53-N53</f>
        <v>0.0032083134491043</v>
      </c>
      <c r="P53" s="13" t="str">
        <f aca="false">IF(O53&gt;0.01,"OVER NORM",IF(O53&lt;-0.005,"BELOW NORM","OK"))</f>
        <v>OK</v>
      </c>
    </row>
    <row r="54" customFormat="false" ht="15" hidden="false" customHeight="false" outlineLevel="0" collapsed="false">
      <c r="A54" s="12" t="n">
        <v>46319</v>
      </c>
      <c r="B54" s="13" t="str">
        <f aca="false">TEXT(A54,"YYYY-MM")</f>
        <v>2026-10</v>
      </c>
      <c r="C54" s="13" t="s">
        <v>112</v>
      </c>
      <c r="D54" s="13" t="s">
        <v>43</v>
      </c>
      <c r="E54" s="17" t="s">
        <v>34</v>
      </c>
      <c r="F54" s="18" t="n">
        <f aca="false">INDEX(Setup!$B$11:$B$14,MATCH(E54,Setup!$A$11:$A$14,0))</f>
        <v>0.916</v>
      </c>
      <c r="G54" s="19" t="n">
        <v>123.44</v>
      </c>
      <c r="H54" s="20" t="n">
        <f aca="false">G54*F54</f>
        <v>113.07104</v>
      </c>
      <c r="I54" s="19" t="n">
        <v>104.331</v>
      </c>
      <c r="J54" s="20" t="n">
        <f aca="false">I54*F54</f>
        <v>95.567196</v>
      </c>
      <c r="K54" s="19" t="n">
        <v>14.139</v>
      </c>
      <c r="L54" s="20" t="n">
        <f aca="false">H54-J54-K54</f>
        <v>3.36484399999999</v>
      </c>
      <c r="M54" s="23" t="n">
        <f aca="false">IFERROR(L54/H54,0)</f>
        <v>0.0297586720702311</v>
      </c>
      <c r="N54" s="23" t="n">
        <f aca="false">INDEX(Setup!$B$19:$B$22,MATCH(D54,Setup!$A$19:$A$22,0))</f>
        <v>0.025</v>
      </c>
      <c r="O54" s="23" t="n">
        <f aca="false">M54-N54</f>
        <v>0.00475867207023113</v>
      </c>
      <c r="P54" s="13" t="str">
        <f aca="false">IF(O54&gt;0.01,"OVER NORM",IF(O54&lt;-0.005,"BELOW NORM","OK"))</f>
        <v>OK</v>
      </c>
    </row>
    <row r="55" customFormat="false" ht="15" hidden="false" customHeight="false" outlineLevel="0" collapsed="false">
      <c r="A55" s="12" t="n">
        <v>46321</v>
      </c>
      <c r="B55" s="13" t="str">
        <f aca="false">TEXT(A55,"YYYY-MM")</f>
        <v>2026-10</v>
      </c>
      <c r="C55" s="13" t="s">
        <v>114</v>
      </c>
      <c r="D55" s="13" t="s">
        <v>41</v>
      </c>
      <c r="E55" s="17" t="s">
        <v>34</v>
      </c>
      <c r="F55" s="18" t="n">
        <f aca="false">INDEX(Setup!$B$11:$B$14,MATCH(E55,Setup!$A$11:$A$14,0))</f>
        <v>0.916</v>
      </c>
      <c r="G55" s="19" t="n">
        <v>164.553</v>
      </c>
      <c r="H55" s="20" t="n">
        <f aca="false">G55*F55</f>
        <v>150.730548</v>
      </c>
      <c r="I55" s="19" t="n">
        <v>144.164</v>
      </c>
      <c r="J55" s="20" t="n">
        <f aca="false">I55*F55</f>
        <v>132.054224</v>
      </c>
      <c r="K55" s="19" t="n">
        <v>16.099</v>
      </c>
      <c r="L55" s="20" t="n">
        <f aca="false">H55-J55-K55</f>
        <v>2.57732399999999</v>
      </c>
      <c r="M55" s="23" t="n">
        <f aca="false">IFERROR(L55/H55,0)</f>
        <v>0.0170988829683018</v>
      </c>
      <c r="N55" s="23" t="n">
        <f aca="false">INDEX(Setup!$B$19:$B$22,MATCH(D55,Setup!$A$19:$A$22,0))</f>
        <v>0.018</v>
      </c>
      <c r="O55" s="23" t="n">
        <f aca="false">M55-N55</f>
        <v>-0.00090111703169822</v>
      </c>
      <c r="P55" s="13" t="str">
        <f aca="false">IF(O55&gt;0.01,"OVER NORM",IF(O55&lt;-0.005,"BELOW NORM","OK"))</f>
        <v>OK</v>
      </c>
    </row>
    <row r="56" customFormat="false" ht="15" hidden="false" customHeight="false" outlineLevel="0" collapsed="false">
      <c r="A56" s="12" t="n">
        <v>46321</v>
      </c>
      <c r="B56" s="13" t="str">
        <f aca="false">TEXT(A56,"YYYY-MM")</f>
        <v>2026-10</v>
      </c>
      <c r="C56" s="13" t="s">
        <v>115</v>
      </c>
      <c r="D56" s="13" t="s">
        <v>42</v>
      </c>
      <c r="E56" s="17" t="s">
        <v>34</v>
      </c>
      <c r="F56" s="18" t="n">
        <f aca="false">INDEX(Setup!$B$11:$B$14,MATCH(E56,Setup!$A$11:$A$14,0))</f>
        <v>0.916</v>
      </c>
      <c r="G56" s="19" t="n">
        <v>175.548</v>
      </c>
      <c r="H56" s="20" t="n">
        <f aca="false">G56*F56</f>
        <v>160.801968</v>
      </c>
      <c r="I56" s="19" t="n">
        <v>143.02</v>
      </c>
      <c r="J56" s="20" t="n">
        <f aca="false">I56*F56</f>
        <v>131.00632</v>
      </c>
      <c r="K56" s="19" t="n">
        <v>21.005</v>
      </c>
      <c r="L56" s="20" t="n">
        <f aca="false">H56-J56-K56</f>
        <v>8.790648</v>
      </c>
      <c r="M56" s="23" t="n">
        <f aca="false">IFERROR(L56/H56,0)</f>
        <v>0.0546675398898103</v>
      </c>
      <c r="N56" s="23" t="n">
        <f aca="false">INDEX(Setup!$B$19:$B$22,MATCH(D56,Setup!$A$19:$A$22,0))</f>
        <v>0.035</v>
      </c>
      <c r="O56" s="23" t="n">
        <f aca="false">M56-N56</f>
        <v>0.0196675398898103</v>
      </c>
      <c r="P56" s="13" t="str">
        <f aca="false">IF(O56&gt;0.01,"OVER NORM",IF(O56&lt;-0.005,"BELOW NORM","OK"))</f>
        <v>OVER NORM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7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16"/>
    <col collapsed="false" customWidth="true" hidden="false" outlineLevel="0" max="14" min="14" style="0" width="15"/>
    <col collapsed="false" customWidth="true" hidden="false" outlineLevel="0" max="15" min="15" style="0" width="16"/>
    <col collapsed="false" customWidth="true" hidden="false" outlineLevel="0" max="16" min="16" style="0" width="15"/>
  </cols>
  <sheetData>
    <row r="1" customFormat="false" ht="17.35" hidden="false" customHeight="false" outlineLevel="0" collapsed="false">
      <c r="A1" s="1" t="s">
        <v>116</v>
      </c>
    </row>
    <row r="2" customFormat="false" ht="15" hidden="false" customHeight="false" outlineLevel="0" collapsed="false">
      <c r="A2" s="2" t="s">
        <v>117</v>
      </c>
    </row>
    <row r="4" customFormat="false" ht="30" hidden="false" customHeight="true" outlineLevel="0" collapsed="false">
      <c r="A4" s="8" t="s">
        <v>55</v>
      </c>
      <c r="B4" s="8" t="s">
        <v>56</v>
      </c>
      <c r="C4" s="8" t="s">
        <v>118</v>
      </c>
      <c r="D4" s="8" t="s">
        <v>66</v>
      </c>
      <c r="E4" s="8" t="s">
        <v>119</v>
      </c>
      <c r="F4" s="8" t="s">
        <v>70</v>
      </c>
      <c r="G4" s="8" t="s">
        <v>71</v>
      </c>
      <c r="H4" s="8" t="s">
        <v>120</v>
      </c>
      <c r="I4" s="8" t="s">
        <v>121</v>
      </c>
      <c r="J4" s="8" t="s">
        <v>74</v>
      </c>
      <c r="K4" s="8" t="s">
        <v>122</v>
      </c>
      <c r="L4" s="8" t="s">
        <v>123</v>
      </c>
      <c r="M4" s="8" t="s">
        <v>124</v>
      </c>
      <c r="N4" s="8" t="s">
        <v>125</v>
      </c>
      <c r="O4" s="8" t="s">
        <v>126</v>
      </c>
      <c r="P4" s="8" t="s">
        <v>127</v>
      </c>
    </row>
    <row r="5" customFormat="false" ht="15" hidden="false" customHeight="false" outlineLevel="0" collapsed="false">
      <c r="A5" s="12" t="n">
        <v>46296</v>
      </c>
      <c r="B5" s="13" t="str">
        <f aca="false">TEXT(A5,"YYYY-MM")</f>
        <v>2026-10</v>
      </c>
      <c r="C5" s="13" t="s">
        <v>128</v>
      </c>
      <c r="D5" s="17" t="s">
        <v>96</v>
      </c>
      <c r="E5" s="17" t="n">
        <v>1</v>
      </c>
      <c r="F5" s="20" t="n">
        <f aca="false">E5*INDEX(SKU_Register!$G$5:$G$22,MATCH(D5,SKU_Register!$A$5:$A$22,0))</f>
        <v>9.438</v>
      </c>
      <c r="G5" s="20" t="n">
        <f aca="false">E5*INDEX(SKU_Register!$H$5:$H$22,MATCH(D5,SKU_Register!$A$5:$A$22,0))</f>
        <v>8.645208</v>
      </c>
      <c r="H5" s="24" t="n">
        <f aca="false">Rate_Sheet!$F$5</f>
        <v>9219.81441048035</v>
      </c>
      <c r="I5" s="21" t="n">
        <f aca="false">G5*H5</f>
        <v>79707.2133</v>
      </c>
      <c r="J5" s="21" t="n">
        <f aca="false">E5*INDEX(SKU_Register!$K$5:$K$22,MATCH(D5,SKU_Register!$A$5:$A$22,0))</f>
        <v>8810.47187097792</v>
      </c>
      <c r="K5" s="22" t="n">
        <v>0.25</v>
      </c>
      <c r="L5" s="21" t="n">
        <f aca="false">J5*(1-K5)</f>
        <v>6607.85390323344</v>
      </c>
      <c r="M5" s="21" t="n">
        <f aca="false">J5-L5</f>
        <v>2202.61796774448</v>
      </c>
      <c r="N5" s="19" t="n">
        <v>17.528</v>
      </c>
      <c r="O5" s="21" t="n">
        <f aca="false">N5*H5</f>
        <v>161604.9069869</v>
      </c>
      <c r="P5" s="21" t="n">
        <f aca="false">I5+L5-O5</f>
        <v>-75289.8397836661</v>
      </c>
    </row>
    <row r="6" customFormat="false" ht="15" hidden="false" customHeight="false" outlineLevel="0" collapsed="false">
      <c r="A6" s="12" t="n">
        <v>46296</v>
      </c>
      <c r="B6" s="13" t="str">
        <f aca="false">TEXT(A6,"YYYY-MM")</f>
        <v>2026-10</v>
      </c>
      <c r="C6" s="13" t="s">
        <v>129</v>
      </c>
      <c r="D6" s="17" t="s">
        <v>87</v>
      </c>
      <c r="E6" s="17" t="n">
        <v>1</v>
      </c>
      <c r="F6" s="20" t="n">
        <f aca="false">E6*INDEX(SKU_Register!$G$5:$G$22,MATCH(D6,SKU_Register!$A$5:$A$22,0))</f>
        <v>26.609</v>
      </c>
      <c r="G6" s="20" t="n">
        <f aca="false">E6*INDEX(SKU_Register!$H$5:$H$22,MATCH(D6,SKU_Register!$A$5:$A$22,0))</f>
        <v>24.373844</v>
      </c>
      <c r="H6" s="24" t="n">
        <f aca="false">Rate_Sheet!$F$5</f>
        <v>9219.81441048035</v>
      </c>
      <c r="I6" s="21" t="n">
        <f aca="false">G6*H6</f>
        <v>224722.31815</v>
      </c>
      <c r="J6" s="21" t="n">
        <f aca="false">E6*INDEX(SKU_Register!$K$5:$K$22,MATCH(D6,SKU_Register!$A$5:$A$22,0))</f>
        <v>12053.877</v>
      </c>
      <c r="K6" s="22" t="n">
        <v>0.05</v>
      </c>
      <c r="L6" s="21" t="n">
        <f aca="false">J6*(1-K6)</f>
        <v>11451.18315</v>
      </c>
      <c r="M6" s="21" t="n">
        <f aca="false">J6-L6</f>
        <v>602.69385</v>
      </c>
      <c r="N6" s="19" t="n">
        <v>0</v>
      </c>
      <c r="O6" s="21" t="n">
        <f aca="false">N6*H6</f>
        <v>0</v>
      </c>
      <c r="P6" s="21" t="n">
        <f aca="false">I6+L6-O6</f>
        <v>236173.5013</v>
      </c>
    </row>
    <row r="7" customFormat="false" ht="15" hidden="false" customHeight="false" outlineLevel="0" collapsed="false">
      <c r="A7" s="12" t="n">
        <v>46297</v>
      </c>
      <c r="B7" s="13" t="str">
        <f aca="false">TEXT(A7,"YYYY-MM")</f>
        <v>2026-10</v>
      </c>
      <c r="C7" s="13" t="s">
        <v>130</v>
      </c>
      <c r="D7" s="17" t="s">
        <v>88</v>
      </c>
      <c r="E7" s="17" t="n">
        <v>1</v>
      </c>
      <c r="F7" s="20" t="n">
        <f aca="false">E7*INDEX(SKU_Register!$G$5:$G$22,MATCH(D7,SKU_Register!$A$5:$A$22,0))</f>
        <v>8.207</v>
      </c>
      <c r="G7" s="20" t="n">
        <f aca="false">E7*INDEX(SKU_Register!$H$5:$H$22,MATCH(D7,SKU_Register!$A$5:$A$22,0))</f>
        <v>7.517612</v>
      </c>
      <c r="H7" s="24" t="n">
        <f aca="false">Rate_Sheet!$F$6</f>
        <v>9219.81441048035</v>
      </c>
      <c r="I7" s="21" t="n">
        <f aca="false">G7*H7</f>
        <v>69310.98745</v>
      </c>
      <c r="J7" s="21" t="n">
        <f aca="false">E7*INDEX(SKU_Register!$K$5:$K$22,MATCH(D7,SKU_Register!$A$5:$A$22,0))</f>
        <v>2815.001</v>
      </c>
      <c r="K7" s="22" t="n">
        <v>0</v>
      </c>
      <c r="L7" s="21" t="n">
        <f aca="false">J7*(1-K7)</f>
        <v>2815.001</v>
      </c>
      <c r="M7" s="21" t="n">
        <f aca="false">J7-L7</f>
        <v>0</v>
      </c>
      <c r="N7" s="19" t="n">
        <v>2.065</v>
      </c>
      <c r="O7" s="21" t="n">
        <f aca="false">N7*H7</f>
        <v>19038.9167576419</v>
      </c>
      <c r="P7" s="21" t="n">
        <f aca="false">I7+L7-O7</f>
        <v>53087.0716923581</v>
      </c>
    </row>
    <row r="8" customFormat="false" ht="15" hidden="false" customHeight="false" outlineLevel="0" collapsed="false">
      <c r="A8" s="12" t="n">
        <v>46297</v>
      </c>
      <c r="B8" s="13" t="str">
        <f aca="false">TEXT(A8,"YYYY-MM")</f>
        <v>2026-10</v>
      </c>
      <c r="C8" s="13" t="s">
        <v>131</v>
      </c>
      <c r="D8" s="17" t="s">
        <v>98</v>
      </c>
      <c r="E8" s="17" t="n">
        <v>1</v>
      </c>
      <c r="F8" s="20" t="n">
        <f aca="false">E8*INDEX(SKU_Register!$G$5:$G$22,MATCH(D8,SKU_Register!$A$5:$A$22,0))</f>
        <v>40.02</v>
      </c>
      <c r="G8" s="20" t="n">
        <f aca="false">E8*INDEX(SKU_Register!$H$5:$H$22,MATCH(D8,SKU_Register!$A$5:$A$22,0))</f>
        <v>36.65832</v>
      </c>
      <c r="H8" s="24" t="n">
        <f aca="false">Rate_Sheet!$F$6</f>
        <v>9219.81441048035</v>
      </c>
      <c r="I8" s="21" t="n">
        <f aca="false">G8*H8</f>
        <v>337982.907</v>
      </c>
      <c r="J8" s="21" t="n">
        <f aca="false">E8*INDEX(SKU_Register!$K$5:$K$22,MATCH(D8,SKU_Register!$A$5:$A$22,0))</f>
        <v>23451.72</v>
      </c>
      <c r="K8" s="22" t="n">
        <v>0.05</v>
      </c>
      <c r="L8" s="21" t="n">
        <f aca="false">J8*(1-K8)</f>
        <v>22279.134</v>
      </c>
      <c r="M8" s="21" t="n">
        <f aca="false">J8-L8</f>
        <v>1172.586</v>
      </c>
      <c r="N8" s="19" t="n">
        <v>0</v>
      </c>
      <c r="O8" s="21" t="n">
        <f aca="false">N8*H8</f>
        <v>0</v>
      </c>
      <c r="P8" s="21" t="n">
        <f aca="false">I8+L8-O8</f>
        <v>360262.041</v>
      </c>
    </row>
    <row r="9" customFormat="false" ht="15" hidden="false" customHeight="false" outlineLevel="0" collapsed="false">
      <c r="A9" s="12" t="n">
        <v>46297</v>
      </c>
      <c r="B9" s="13" t="str">
        <f aca="false">TEXT(A9,"YYYY-MM")</f>
        <v>2026-10</v>
      </c>
      <c r="C9" s="13" t="s">
        <v>132</v>
      </c>
      <c r="D9" s="17" t="s">
        <v>88</v>
      </c>
      <c r="E9" s="17" t="n">
        <v>1</v>
      </c>
      <c r="F9" s="20" t="n">
        <f aca="false">E9*INDEX(SKU_Register!$G$5:$G$22,MATCH(D9,SKU_Register!$A$5:$A$22,0))</f>
        <v>8.207</v>
      </c>
      <c r="G9" s="20" t="n">
        <f aca="false">E9*INDEX(SKU_Register!$H$5:$H$22,MATCH(D9,SKU_Register!$A$5:$A$22,0))</f>
        <v>7.517612</v>
      </c>
      <c r="H9" s="24" t="n">
        <f aca="false">Rate_Sheet!$F$6</f>
        <v>9219.81441048035</v>
      </c>
      <c r="I9" s="21" t="n">
        <f aca="false">G9*H9</f>
        <v>69310.98745</v>
      </c>
      <c r="J9" s="21" t="n">
        <f aca="false">E9*INDEX(SKU_Register!$K$5:$K$22,MATCH(D9,SKU_Register!$A$5:$A$22,0))</f>
        <v>2815.001</v>
      </c>
      <c r="K9" s="22" t="n">
        <v>0.25</v>
      </c>
      <c r="L9" s="21" t="n">
        <f aca="false">J9*(1-K9)</f>
        <v>2111.25075</v>
      </c>
      <c r="M9" s="21" t="n">
        <f aca="false">J9-L9</f>
        <v>703.75025</v>
      </c>
      <c r="N9" s="19" t="n">
        <v>10.323</v>
      </c>
      <c r="O9" s="21" t="n">
        <f aca="false">N9*H9</f>
        <v>95176.1441593886</v>
      </c>
      <c r="P9" s="21" t="n">
        <f aca="false">I9+L9-O9</f>
        <v>-23753.9059593886</v>
      </c>
    </row>
    <row r="10" customFormat="false" ht="15" hidden="false" customHeight="false" outlineLevel="0" collapsed="false">
      <c r="A10" s="12" t="n">
        <v>46297</v>
      </c>
      <c r="B10" s="13" t="str">
        <f aca="false">TEXT(A10,"YYYY-MM")</f>
        <v>2026-10</v>
      </c>
      <c r="C10" s="13" t="s">
        <v>133</v>
      </c>
      <c r="D10" s="17" t="s">
        <v>91</v>
      </c>
      <c r="E10" s="17" t="n">
        <v>1</v>
      </c>
      <c r="F10" s="20" t="n">
        <f aca="false">E10*INDEX(SKU_Register!$G$5:$G$22,MATCH(D10,SKU_Register!$A$5:$A$22,0))</f>
        <v>34.656</v>
      </c>
      <c r="G10" s="20" t="n">
        <f aca="false">E10*INDEX(SKU_Register!$H$5:$H$22,MATCH(D10,SKU_Register!$A$5:$A$22,0))</f>
        <v>31.744896</v>
      </c>
      <c r="H10" s="24" t="n">
        <f aca="false">Rate_Sheet!$F$6</f>
        <v>9219.81441048035</v>
      </c>
      <c r="I10" s="21" t="n">
        <f aca="false">G10*H10</f>
        <v>292682.0496</v>
      </c>
      <c r="J10" s="21" t="n">
        <f aca="false">E10*INDEX(SKU_Register!$K$5:$K$22,MATCH(D10,SKU_Register!$A$5:$A$22,0))</f>
        <v>37753.4283326438</v>
      </c>
      <c r="K10" s="22" t="n">
        <v>0.2</v>
      </c>
      <c r="L10" s="21" t="n">
        <f aca="false">J10*(1-K10)</f>
        <v>30202.7426661151</v>
      </c>
      <c r="M10" s="21" t="n">
        <f aca="false">J10-L10</f>
        <v>7550.68566652877</v>
      </c>
      <c r="N10" s="19" t="n">
        <v>16.052</v>
      </c>
      <c r="O10" s="21" t="n">
        <f aca="false">N10*H10</f>
        <v>147996.460917031</v>
      </c>
      <c r="P10" s="21" t="n">
        <f aca="false">I10+L10-O10</f>
        <v>174888.331349084</v>
      </c>
    </row>
    <row r="11" customFormat="false" ht="15" hidden="false" customHeight="false" outlineLevel="0" collapsed="false">
      <c r="A11" s="12" t="n">
        <v>46298</v>
      </c>
      <c r="B11" s="13" t="str">
        <f aca="false">TEXT(A11,"YYYY-MM")</f>
        <v>2026-10</v>
      </c>
      <c r="C11" s="13" t="s">
        <v>134</v>
      </c>
      <c r="D11" s="17" t="s">
        <v>75</v>
      </c>
      <c r="E11" s="17" t="n">
        <v>1</v>
      </c>
      <c r="F11" s="20" t="n">
        <f aca="false">E11*INDEX(SKU_Register!$G$5:$G$22,MATCH(D11,SKU_Register!$A$5:$A$22,0))</f>
        <v>27.563</v>
      </c>
      <c r="G11" s="20" t="n">
        <f aca="false">E11*INDEX(SKU_Register!$H$5:$H$22,MATCH(D11,SKU_Register!$A$5:$A$22,0))</f>
        <v>25.247708</v>
      </c>
      <c r="H11" s="24" t="n">
        <f aca="false">Rate_Sheet!$F$7</f>
        <v>9219.81441048035</v>
      </c>
      <c r="I11" s="21" t="n">
        <f aca="false">G11*H11</f>
        <v>232779.18205</v>
      </c>
      <c r="J11" s="21" t="n">
        <f aca="false">E11*INDEX(SKU_Register!$K$5:$K$22,MATCH(D11,SKU_Register!$A$5:$A$22,0))</f>
        <v>16923.682</v>
      </c>
      <c r="K11" s="22" t="n">
        <v>0.1</v>
      </c>
      <c r="L11" s="21" t="n">
        <f aca="false">J11*(1-K11)</f>
        <v>15231.3138</v>
      </c>
      <c r="M11" s="21" t="n">
        <f aca="false">J11-L11</f>
        <v>1692.3682</v>
      </c>
      <c r="N11" s="19" t="n">
        <v>16.579</v>
      </c>
      <c r="O11" s="21" t="n">
        <f aca="false">N11*H11</f>
        <v>152855.303111354</v>
      </c>
      <c r="P11" s="21" t="n">
        <f aca="false">I11+L11-O11</f>
        <v>95155.1927386463</v>
      </c>
    </row>
    <row r="12" customFormat="false" ht="15" hidden="false" customHeight="false" outlineLevel="0" collapsed="false">
      <c r="A12" s="12" t="n">
        <v>46298</v>
      </c>
      <c r="B12" s="13" t="str">
        <f aca="false">TEXT(A12,"YYYY-MM")</f>
        <v>2026-10</v>
      </c>
      <c r="C12" s="13" t="s">
        <v>135</v>
      </c>
      <c r="D12" s="17" t="s">
        <v>91</v>
      </c>
      <c r="E12" s="17" t="n">
        <v>2</v>
      </c>
      <c r="F12" s="20" t="n">
        <f aca="false">E12*INDEX(SKU_Register!$G$5:$G$22,MATCH(D12,SKU_Register!$A$5:$A$22,0))</f>
        <v>69.312</v>
      </c>
      <c r="G12" s="20" t="n">
        <f aca="false">E12*INDEX(SKU_Register!$H$5:$H$22,MATCH(D12,SKU_Register!$A$5:$A$22,0))</f>
        <v>63.489792</v>
      </c>
      <c r="H12" s="24" t="n">
        <f aca="false">Rate_Sheet!$F$7</f>
        <v>9219.81441048035</v>
      </c>
      <c r="I12" s="21" t="n">
        <f aca="false">G12*H12</f>
        <v>585364.0992</v>
      </c>
      <c r="J12" s="21" t="n">
        <f aca="false">E12*INDEX(SKU_Register!$K$5:$K$22,MATCH(D12,SKU_Register!$A$5:$A$22,0))</f>
        <v>75506.8566652877</v>
      </c>
      <c r="K12" s="22" t="n">
        <v>0.3</v>
      </c>
      <c r="L12" s="21" t="n">
        <f aca="false">J12*(1-K12)</f>
        <v>52854.7996657014</v>
      </c>
      <c r="M12" s="21" t="n">
        <f aca="false">J12-L12</f>
        <v>22652.0569995863</v>
      </c>
      <c r="N12" s="19" t="n">
        <v>0</v>
      </c>
      <c r="O12" s="21" t="n">
        <f aca="false">N12*H12</f>
        <v>0</v>
      </c>
      <c r="P12" s="21" t="n">
        <f aca="false">I12+L12-O12</f>
        <v>638218.898865701</v>
      </c>
    </row>
    <row r="13" customFormat="false" ht="15" hidden="false" customHeight="false" outlineLevel="0" collapsed="false">
      <c r="A13" s="12" t="n">
        <v>46298</v>
      </c>
      <c r="B13" s="13" t="str">
        <f aca="false">TEXT(A13,"YYYY-MM")</f>
        <v>2026-10</v>
      </c>
      <c r="C13" s="13" t="s">
        <v>136</v>
      </c>
      <c r="D13" s="17" t="s">
        <v>94</v>
      </c>
      <c r="E13" s="17" t="n">
        <v>2</v>
      </c>
      <c r="F13" s="20" t="n">
        <f aca="false">E13*INDEX(SKU_Register!$G$5:$G$22,MATCH(D13,SKU_Register!$A$5:$A$22,0))</f>
        <v>25.12</v>
      </c>
      <c r="G13" s="20" t="n">
        <f aca="false">E13*INDEX(SKU_Register!$H$5:$H$22,MATCH(D13,SKU_Register!$A$5:$A$22,0))</f>
        <v>18.84</v>
      </c>
      <c r="H13" s="24" t="n">
        <f aca="false">Rate_Sheet!$F$7</f>
        <v>9219.81441048035</v>
      </c>
      <c r="I13" s="21" t="n">
        <f aca="false">G13*H13</f>
        <v>173701.30349345</v>
      </c>
      <c r="J13" s="21" t="n">
        <f aca="false">E13*INDEX(SKU_Register!$K$5:$K$22,MATCH(D13,SKU_Register!$A$5:$A$22,0))</f>
        <v>19321.450548</v>
      </c>
      <c r="K13" s="22" t="n">
        <v>0.1</v>
      </c>
      <c r="L13" s="21" t="n">
        <f aca="false">J13*(1-K13)</f>
        <v>17389.3054932</v>
      </c>
      <c r="M13" s="21" t="n">
        <f aca="false">J13-L13</f>
        <v>1932.1450548</v>
      </c>
      <c r="N13" s="19" t="n">
        <v>0</v>
      </c>
      <c r="O13" s="21" t="n">
        <f aca="false">N13*H13</f>
        <v>0</v>
      </c>
      <c r="P13" s="21" t="n">
        <f aca="false">I13+L13-O13</f>
        <v>191090.60898665</v>
      </c>
    </row>
    <row r="14" customFormat="false" ht="15" hidden="false" customHeight="false" outlineLevel="0" collapsed="false">
      <c r="A14" s="12" t="n">
        <v>46300</v>
      </c>
      <c r="B14" s="13" t="str">
        <f aca="false">TEXT(A14,"YYYY-MM")</f>
        <v>2026-10</v>
      </c>
      <c r="C14" s="13" t="s">
        <v>137</v>
      </c>
      <c r="D14" s="17" t="s">
        <v>78</v>
      </c>
      <c r="E14" s="17" t="n">
        <v>1</v>
      </c>
      <c r="F14" s="20" t="n">
        <f aca="false">E14*INDEX(SKU_Register!$G$5:$G$22,MATCH(D14,SKU_Register!$A$5:$A$22,0))</f>
        <v>26.934</v>
      </c>
      <c r="G14" s="20" t="n">
        <f aca="false">E14*INDEX(SKU_Register!$H$5:$H$22,MATCH(D14,SKU_Register!$A$5:$A$22,0))</f>
        <v>24.671544</v>
      </c>
      <c r="H14" s="24" t="n">
        <f aca="false">Rate_Sheet!$F$8</f>
        <v>9219.81441048035</v>
      </c>
      <c r="I14" s="21" t="n">
        <f aca="false">G14*H14</f>
        <v>227467.0569</v>
      </c>
      <c r="J14" s="21" t="n">
        <f aca="false">E14*INDEX(SKU_Register!$K$5:$K$22,MATCH(D14,SKU_Register!$A$5:$A$22,0))</f>
        <v>10504.26</v>
      </c>
      <c r="K14" s="22" t="n">
        <v>0.05</v>
      </c>
      <c r="L14" s="21" t="n">
        <f aca="false">J14*(1-K14)</f>
        <v>9979.047</v>
      </c>
      <c r="M14" s="21" t="n">
        <f aca="false">J14-L14</f>
        <v>525.213</v>
      </c>
      <c r="N14" s="19" t="n">
        <v>0</v>
      </c>
      <c r="O14" s="21" t="n">
        <f aca="false">N14*H14</f>
        <v>0</v>
      </c>
      <c r="P14" s="21" t="n">
        <f aca="false">I14+L14-O14</f>
        <v>237446.1039</v>
      </c>
    </row>
    <row r="15" customFormat="false" ht="15" hidden="false" customHeight="false" outlineLevel="0" collapsed="false">
      <c r="A15" s="12" t="n">
        <v>46300</v>
      </c>
      <c r="B15" s="13" t="str">
        <f aca="false">TEXT(A15,"YYYY-MM")</f>
        <v>2026-10</v>
      </c>
      <c r="C15" s="13" t="s">
        <v>138</v>
      </c>
      <c r="D15" s="17" t="s">
        <v>96</v>
      </c>
      <c r="E15" s="17" t="n">
        <v>1</v>
      </c>
      <c r="F15" s="20" t="n">
        <f aca="false">E15*INDEX(SKU_Register!$G$5:$G$22,MATCH(D15,SKU_Register!$A$5:$A$22,0))</f>
        <v>9.438</v>
      </c>
      <c r="G15" s="20" t="n">
        <f aca="false">E15*INDEX(SKU_Register!$H$5:$H$22,MATCH(D15,SKU_Register!$A$5:$A$22,0))</f>
        <v>8.645208</v>
      </c>
      <c r="H15" s="24" t="n">
        <f aca="false">Rate_Sheet!$F$8</f>
        <v>9219.81441048035</v>
      </c>
      <c r="I15" s="21" t="n">
        <f aca="false">G15*H15</f>
        <v>79707.2133</v>
      </c>
      <c r="J15" s="21" t="n">
        <f aca="false">E15*INDEX(SKU_Register!$K$5:$K$22,MATCH(D15,SKU_Register!$A$5:$A$22,0))</f>
        <v>8810.47187097792</v>
      </c>
      <c r="K15" s="22" t="n">
        <v>0.2</v>
      </c>
      <c r="L15" s="21" t="n">
        <f aca="false">J15*(1-K15)</f>
        <v>7048.37749678234</v>
      </c>
      <c r="M15" s="21" t="n">
        <f aca="false">J15-L15</f>
        <v>1762.09437419558</v>
      </c>
      <c r="N15" s="19" t="n">
        <v>11.521</v>
      </c>
      <c r="O15" s="21" t="n">
        <f aca="false">N15*H15</f>
        <v>106221.481823144</v>
      </c>
      <c r="P15" s="21" t="n">
        <f aca="false">I15+L15-O15</f>
        <v>-19465.8910263618</v>
      </c>
    </row>
    <row r="16" customFormat="false" ht="15" hidden="false" customHeight="false" outlineLevel="0" collapsed="false">
      <c r="A16" s="12" t="n">
        <v>46300</v>
      </c>
      <c r="B16" s="13" t="str">
        <f aca="false">TEXT(A16,"YYYY-MM")</f>
        <v>2026-10</v>
      </c>
      <c r="C16" s="13" t="s">
        <v>139</v>
      </c>
      <c r="D16" s="17" t="s">
        <v>75</v>
      </c>
      <c r="E16" s="17" t="n">
        <v>1</v>
      </c>
      <c r="F16" s="20" t="n">
        <f aca="false">E16*INDEX(SKU_Register!$G$5:$G$22,MATCH(D16,SKU_Register!$A$5:$A$22,0))</f>
        <v>27.563</v>
      </c>
      <c r="G16" s="20" t="n">
        <f aca="false">E16*INDEX(SKU_Register!$H$5:$H$22,MATCH(D16,SKU_Register!$A$5:$A$22,0))</f>
        <v>25.247708</v>
      </c>
      <c r="H16" s="24" t="n">
        <f aca="false">Rate_Sheet!$F$8</f>
        <v>9219.81441048035</v>
      </c>
      <c r="I16" s="21" t="n">
        <f aca="false">G16*H16</f>
        <v>232779.18205</v>
      </c>
      <c r="J16" s="21" t="n">
        <f aca="false">E16*INDEX(SKU_Register!$K$5:$K$22,MATCH(D16,SKU_Register!$A$5:$A$22,0))</f>
        <v>16923.682</v>
      </c>
      <c r="K16" s="22" t="n">
        <v>0.15</v>
      </c>
      <c r="L16" s="21" t="n">
        <f aca="false">J16*(1-K16)</f>
        <v>14385.1297</v>
      </c>
      <c r="M16" s="21" t="n">
        <f aca="false">J16-L16</f>
        <v>2538.5523</v>
      </c>
      <c r="N16" s="19" t="n">
        <v>0</v>
      </c>
      <c r="O16" s="21" t="n">
        <f aca="false">N16*H16</f>
        <v>0</v>
      </c>
      <c r="P16" s="21" t="n">
        <f aca="false">I16+L16-O16</f>
        <v>247164.31175</v>
      </c>
    </row>
    <row r="17" customFormat="false" ht="15" hidden="false" customHeight="false" outlineLevel="0" collapsed="false">
      <c r="A17" s="12" t="n">
        <v>46300</v>
      </c>
      <c r="B17" s="13" t="str">
        <f aca="false">TEXT(A17,"YYYY-MM")</f>
        <v>2026-10</v>
      </c>
      <c r="C17" s="13" t="s">
        <v>140</v>
      </c>
      <c r="D17" s="17" t="s">
        <v>95</v>
      </c>
      <c r="E17" s="17" t="n">
        <v>1</v>
      </c>
      <c r="F17" s="20" t="n">
        <f aca="false">E17*INDEX(SKU_Register!$G$5:$G$22,MATCH(D17,SKU_Register!$A$5:$A$22,0))</f>
        <v>13.001</v>
      </c>
      <c r="G17" s="20" t="n">
        <f aca="false">E17*INDEX(SKU_Register!$H$5:$H$22,MATCH(D17,SKU_Register!$A$5:$A$22,0))</f>
        <v>11.908916</v>
      </c>
      <c r="H17" s="24" t="n">
        <f aca="false">Rate_Sheet!$F$8</f>
        <v>9219.81441048035</v>
      </c>
      <c r="I17" s="21" t="n">
        <f aca="false">G17*H17</f>
        <v>109797.99535</v>
      </c>
      <c r="J17" s="21" t="n">
        <f aca="false">E17*INDEX(SKU_Register!$K$5:$K$22,MATCH(D17,SKU_Register!$A$5:$A$22,0))</f>
        <v>14480.6364067106</v>
      </c>
      <c r="K17" s="22" t="n">
        <v>0</v>
      </c>
      <c r="L17" s="21" t="n">
        <f aca="false">J17*(1-K17)</f>
        <v>14480.6364067106</v>
      </c>
      <c r="M17" s="21" t="n">
        <f aca="false">J17-L17</f>
        <v>0</v>
      </c>
      <c r="N17" s="19" t="n">
        <v>0</v>
      </c>
      <c r="O17" s="21" t="n">
        <f aca="false">N17*H17</f>
        <v>0</v>
      </c>
      <c r="P17" s="21" t="n">
        <f aca="false">I17+L17-O17</f>
        <v>124278.631756711</v>
      </c>
    </row>
    <row r="18" customFormat="false" ht="15" hidden="false" customHeight="false" outlineLevel="0" collapsed="false">
      <c r="A18" s="12" t="n">
        <v>46301</v>
      </c>
      <c r="B18" s="13" t="str">
        <f aca="false">TEXT(A18,"YYYY-MM")</f>
        <v>2026-10</v>
      </c>
      <c r="C18" s="13" t="s">
        <v>141</v>
      </c>
      <c r="D18" s="17" t="s">
        <v>93</v>
      </c>
      <c r="E18" s="17" t="n">
        <v>1</v>
      </c>
      <c r="F18" s="20" t="n">
        <f aca="false">E18*INDEX(SKU_Register!$G$5:$G$22,MATCH(D18,SKU_Register!$A$5:$A$22,0))</f>
        <v>11.829</v>
      </c>
      <c r="G18" s="20" t="n">
        <f aca="false">E18*INDEX(SKU_Register!$H$5:$H$22,MATCH(D18,SKU_Register!$A$5:$A$22,0))</f>
        <v>10.835364</v>
      </c>
      <c r="H18" s="24" t="n">
        <f aca="false">Rate_Sheet!$F$9</f>
        <v>9520.96069868996</v>
      </c>
      <c r="I18" s="21" t="n">
        <f aca="false">G18*H18</f>
        <v>103163.0748</v>
      </c>
      <c r="J18" s="21" t="n">
        <f aca="false">E18*INDEX(SKU_Register!$K$5:$K$22,MATCH(D18,SKU_Register!$A$5:$A$22,0))</f>
        <v>6162.909</v>
      </c>
      <c r="K18" s="22" t="n">
        <v>0.05</v>
      </c>
      <c r="L18" s="21" t="n">
        <f aca="false">J18*(1-K18)</f>
        <v>5854.76355</v>
      </c>
      <c r="M18" s="21" t="n">
        <f aca="false">J18-L18</f>
        <v>308.14545</v>
      </c>
      <c r="N18" s="19" t="n">
        <v>0</v>
      </c>
      <c r="O18" s="21" t="n">
        <f aca="false">N18*H18</f>
        <v>0</v>
      </c>
      <c r="P18" s="21" t="n">
        <f aca="false">I18+L18-O18</f>
        <v>109017.83835</v>
      </c>
    </row>
    <row r="19" customFormat="false" ht="15" hidden="false" customHeight="false" outlineLevel="0" collapsed="false">
      <c r="A19" s="12" t="n">
        <v>46301</v>
      </c>
      <c r="B19" s="13" t="str">
        <f aca="false">TEXT(A19,"YYYY-MM")</f>
        <v>2026-10</v>
      </c>
      <c r="C19" s="13" t="s">
        <v>142</v>
      </c>
      <c r="D19" s="17" t="s">
        <v>90</v>
      </c>
      <c r="E19" s="17" t="n">
        <v>1</v>
      </c>
      <c r="F19" s="20" t="n">
        <f aca="false">E19*INDEX(SKU_Register!$G$5:$G$22,MATCH(D19,SKU_Register!$A$5:$A$22,0))</f>
        <v>28.689</v>
      </c>
      <c r="G19" s="20" t="n">
        <f aca="false">E19*INDEX(SKU_Register!$H$5:$H$22,MATCH(D19,SKU_Register!$A$5:$A$22,0))</f>
        <v>26.279124</v>
      </c>
      <c r="H19" s="24" t="n">
        <f aca="false">Rate_Sheet!$F$9</f>
        <v>9520.96069868996</v>
      </c>
      <c r="I19" s="21" t="n">
        <f aca="false">G19*H19</f>
        <v>250202.5068</v>
      </c>
      <c r="J19" s="21" t="n">
        <f aca="false">E19*INDEX(SKU_Register!$K$5:$K$22,MATCH(D19,SKU_Register!$A$5:$A$22,0))</f>
        <v>29730.3455874456</v>
      </c>
      <c r="K19" s="22" t="n">
        <v>0.05</v>
      </c>
      <c r="L19" s="21" t="n">
        <f aca="false">J19*(1-K19)</f>
        <v>28243.8283080733</v>
      </c>
      <c r="M19" s="21" t="n">
        <f aca="false">J19-L19</f>
        <v>1486.51727937228</v>
      </c>
      <c r="N19" s="19" t="n">
        <v>4.223</v>
      </c>
      <c r="O19" s="21" t="n">
        <f aca="false">N19*H19</f>
        <v>40207.0170305677</v>
      </c>
      <c r="P19" s="21" t="n">
        <f aca="false">I19+L19-O19</f>
        <v>238239.318077506</v>
      </c>
    </row>
    <row r="20" customFormat="false" ht="15" hidden="false" customHeight="false" outlineLevel="0" collapsed="false">
      <c r="A20" s="12" t="n">
        <v>46301</v>
      </c>
      <c r="B20" s="13" t="str">
        <f aca="false">TEXT(A20,"YYYY-MM")</f>
        <v>2026-10</v>
      </c>
      <c r="C20" s="13" t="s">
        <v>143</v>
      </c>
      <c r="D20" s="17" t="s">
        <v>93</v>
      </c>
      <c r="E20" s="17" t="n">
        <v>1</v>
      </c>
      <c r="F20" s="20" t="n">
        <f aca="false">E20*INDEX(SKU_Register!$G$5:$G$22,MATCH(D20,SKU_Register!$A$5:$A$22,0))</f>
        <v>11.829</v>
      </c>
      <c r="G20" s="20" t="n">
        <f aca="false">E20*INDEX(SKU_Register!$H$5:$H$22,MATCH(D20,SKU_Register!$A$5:$A$22,0))</f>
        <v>10.835364</v>
      </c>
      <c r="H20" s="24" t="n">
        <f aca="false">Rate_Sheet!$F$9</f>
        <v>9520.96069868996</v>
      </c>
      <c r="I20" s="21" t="n">
        <f aca="false">G20*H20</f>
        <v>103163.0748</v>
      </c>
      <c r="J20" s="21" t="n">
        <f aca="false">E20*INDEX(SKU_Register!$K$5:$K$22,MATCH(D20,SKU_Register!$A$5:$A$22,0))</f>
        <v>6162.909</v>
      </c>
      <c r="K20" s="22" t="n">
        <v>0.1</v>
      </c>
      <c r="L20" s="21" t="n">
        <f aca="false">J20*(1-K20)</f>
        <v>5546.6181</v>
      </c>
      <c r="M20" s="21" t="n">
        <f aca="false">J20-L20</f>
        <v>616.2909</v>
      </c>
      <c r="N20" s="19" t="n">
        <v>0</v>
      </c>
      <c r="O20" s="21" t="n">
        <f aca="false">N20*H20</f>
        <v>0</v>
      </c>
      <c r="P20" s="21" t="n">
        <f aca="false">I20+L20-O20</f>
        <v>108709.6929</v>
      </c>
    </row>
    <row r="21" customFormat="false" ht="15" hidden="false" customHeight="false" outlineLevel="0" collapsed="false">
      <c r="A21" s="12" t="n">
        <v>46302</v>
      </c>
      <c r="B21" s="13" t="str">
        <f aca="false">TEXT(A21,"YYYY-MM")</f>
        <v>2026-10</v>
      </c>
      <c r="C21" s="13" t="s">
        <v>144</v>
      </c>
      <c r="D21" s="17" t="s">
        <v>93</v>
      </c>
      <c r="E21" s="17" t="n">
        <v>1</v>
      </c>
      <c r="F21" s="20" t="n">
        <f aca="false">E21*INDEX(SKU_Register!$G$5:$G$22,MATCH(D21,SKU_Register!$A$5:$A$22,0))</f>
        <v>11.829</v>
      </c>
      <c r="G21" s="20" t="n">
        <f aca="false">E21*INDEX(SKU_Register!$H$5:$H$22,MATCH(D21,SKU_Register!$A$5:$A$22,0))</f>
        <v>10.835364</v>
      </c>
      <c r="H21" s="24" t="n">
        <f aca="false">Rate_Sheet!$F$10</f>
        <v>9520.96069868996</v>
      </c>
      <c r="I21" s="21" t="n">
        <f aca="false">G21*H21</f>
        <v>103163.0748</v>
      </c>
      <c r="J21" s="21" t="n">
        <f aca="false">E21*INDEX(SKU_Register!$K$5:$K$22,MATCH(D21,SKU_Register!$A$5:$A$22,0))</f>
        <v>6162.909</v>
      </c>
      <c r="K21" s="22" t="n">
        <v>0</v>
      </c>
      <c r="L21" s="21" t="n">
        <f aca="false">J21*(1-K21)</f>
        <v>6162.909</v>
      </c>
      <c r="M21" s="21" t="n">
        <f aca="false">J21-L21</f>
        <v>0</v>
      </c>
      <c r="N21" s="19" t="n">
        <v>0</v>
      </c>
      <c r="O21" s="21" t="n">
        <f aca="false">N21*H21</f>
        <v>0</v>
      </c>
      <c r="P21" s="21" t="n">
        <f aca="false">I21+L21-O21</f>
        <v>109325.9838</v>
      </c>
    </row>
    <row r="22" customFormat="false" ht="15" hidden="false" customHeight="false" outlineLevel="0" collapsed="false">
      <c r="A22" s="12" t="n">
        <v>46302</v>
      </c>
      <c r="B22" s="13" t="str">
        <f aca="false">TEXT(A22,"YYYY-MM")</f>
        <v>2026-10</v>
      </c>
      <c r="C22" s="13" t="s">
        <v>145</v>
      </c>
      <c r="D22" s="17" t="s">
        <v>97</v>
      </c>
      <c r="E22" s="17" t="n">
        <v>1</v>
      </c>
      <c r="F22" s="20" t="n">
        <f aca="false">E22*INDEX(SKU_Register!$G$5:$G$22,MATCH(D22,SKU_Register!$A$5:$A$22,0))</f>
        <v>5.71</v>
      </c>
      <c r="G22" s="20" t="n">
        <f aca="false">E22*INDEX(SKU_Register!$H$5:$H$22,MATCH(D22,SKU_Register!$A$5:$A$22,0))</f>
        <v>5.23036</v>
      </c>
      <c r="H22" s="24" t="n">
        <f aca="false">Rate_Sheet!$F$10</f>
        <v>9520.96069868996</v>
      </c>
      <c r="I22" s="21" t="n">
        <f aca="false">G22*H22</f>
        <v>49798.052</v>
      </c>
      <c r="J22" s="21" t="n">
        <f aca="false">E22*INDEX(SKU_Register!$K$5:$K$22,MATCH(D22,SKU_Register!$A$5:$A$22,0))</f>
        <v>2289.71</v>
      </c>
      <c r="K22" s="22" t="n">
        <v>0.05</v>
      </c>
      <c r="L22" s="21" t="n">
        <f aca="false">J22*(1-K22)</f>
        <v>2175.2245</v>
      </c>
      <c r="M22" s="21" t="n">
        <f aca="false">J22-L22</f>
        <v>114.4855</v>
      </c>
      <c r="N22" s="19" t="n">
        <v>0</v>
      </c>
      <c r="O22" s="21" t="n">
        <f aca="false">N22*H22</f>
        <v>0</v>
      </c>
      <c r="P22" s="21" t="n">
        <f aca="false">I22+L22-O22</f>
        <v>51973.2765</v>
      </c>
    </row>
    <row r="23" customFormat="false" ht="15" hidden="false" customHeight="false" outlineLevel="0" collapsed="false">
      <c r="A23" s="12" t="n">
        <v>46302</v>
      </c>
      <c r="B23" s="13" t="str">
        <f aca="false">TEXT(A23,"YYYY-MM")</f>
        <v>2026-10</v>
      </c>
      <c r="C23" s="13" t="s">
        <v>146</v>
      </c>
      <c r="D23" s="17" t="s">
        <v>89</v>
      </c>
      <c r="E23" s="17" t="n">
        <v>1</v>
      </c>
      <c r="F23" s="20" t="n">
        <f aca="false">E23*INDEX(SKU_Register!$G$5:$G$22,MATCH(D23,SKU_Register!$A$5:$A$22,0))</f>
        <v>23.487</v>
      </c>
      <c r="G23" s="20" t="n">
        <f aca="false">E23*INDEX(SKU_Register!$H$5:$H$22,MATCH(D23,SKU_Register!$A$5:$A$22,0))</f>
        <v>17.61525</v>
      </c>
      <c r="H23" s="24" t="n">
        <f aca="false">Rate_Sheet!$F$10</f>
        <v>9520.96069868996</v>
      </c>
      <c r="I23" s="21" t="n">
        <f aca="false">G23*H23</f>
        <v>167714.102947598</v>
      </c>
      <c r="J23" s="21" t="n">
        <f aca="false">E23*INDEX(SKU_Register!$K$5:$K$22,MATCH(D23,SKU_Register!$A$5:$A$22,0))</f>
        <v>16655.81497506</v>
      </c>
      <c r="K23" s="22" t="n">
        <v>0.25</v>
      </c>
      <c r="L23" s="21" t="n">
        <f aca="false">J23*(1-K23)</f>
        <v>12491.861231295</v>
      </c>
      <c r="M23" s="21" t="n">
        <f aca="false">J23-L23</f>
        <v>4163.953743765</v>
      </c>
      <c r="N23" s="19" t="n">
        <v>2.085</v>
      </c>
      <c r="O23" s="21" t="n">
        <f aca="false">N23*H23</f>
        <v>19851.2030567686</v>
      </c>
      <c r="P23" s="21" t="n">
        <f aca="false">I23+L23-O23</f>
        <v>160354.761122125</v>
      </c>
    </row>
    <row r="24" customFormat="false" ht="15" hidden="false" customHeight="false" outlineLevel="0" collapsed="false">
      <c r="A24" s="12" t="n">
        <v>46303</v>
      </c>
      <c r="B24" s="13" t="str">
        <f aca="false">TEXT(A24,"YYYY-MM")</f>
        <v>2026-10</v>
      </c>
      <c r="C24" s="13" t="s">
        <v>147</v>
      </c>
      <c r="D24" s="17" t="s">
        <v>96</v>
      </c>
      <c r="E24" s="17" t="n">
        <v>1</v>
      </c>
      <c r="F24" s="20" t="n">
        <f aca="false">E24*INDEX(SKU_Register!$G$5:$G$22,MATCH(D24,SKU_Register!$A$5:$A$22,0))</f>
        <v>9.438</v>
      </c>
      <c r="G24" s="20" t="n">
        <f aca="false">E24*INDEX(SKU_Register!$H$5:$H$22,MATCH(D24,SKU_Register!$A$5:$A$22,0))</f>
        <v>8.645208</v>
      </c>
      <c r="H24" s="24" t="n">
        <f aca="false">Rate_Sheet!$F$11</f>
        <v>9520.96069868996</v>
      </c>
      <c r="I24" s="21" t="n">
        <f aca="false">G24*H24</f>
        <v>82310.6856</v>
      </c>
      <c r="J24" s="21" t="n">
        <f aca="false">E24*INDEX(SKU_Register!$K$5:$K$22,MATCH(D24,SKU_Register!$A$5:$A$22,0))</f>
        <v>8810.47187097792</v>
      </c>
      <c r="K24" s="22" t="n">
        <v>0</v>
      </c>
      <c r="L24" s="21" t="n">
        <f aca="false">J24*(1-K24)</f>
        <v>8810.47187097792</v>
      </c>
      <c r="M24" s="21" t="n">
        <f aca="false">J24-L24</f>
        <v>0</v>
      </c>
      <c r="N24" s="19" t="n">
        <v>0</v>
      </c>
      <c r="O24" s="21" t="n">
        <f aca="false">N24*H24</f>
        <v>0</v>
      </c>
      <c r="P24" s="21" t="n">
        <f aca="false">I24+L24-O24</f>
        <v>91121.1574709779</v>
      </c>
    </row>
    <row r="25" customFormat="false" ht="15" hidden="false" customHeight="false" outlineLevel="0" collapsed="false">
      <c r="A25" s="12" t="n">
        <v>46303</v>
      </c>
      <c r="B25" s="13" t="str">
        <f aca="false">TEXT(A25,"YYYY-MM")</f>
        <v>2026-10</v>
      </c>
      <c r="C25" s="13" t="s">
        <v>148</v>
      </c>
      <c r="D25" s="17" t="s">
        <v>93</v>
      </c>
      <c r="E25" s="17" t="n">
        <v>1</v>
      </c>
      <c r="F25" s="20" t="n">
        <f aca="false">E25*INDEX(SKU_Register!$G$5:$G$22,MATCH(D25,SKU_Register!$A$5:$A$22,0))</f>
        <v>11.829</v>
      </c>
      <c r="G25" s="20" t="n">
        <f aca="false">E25*INDEX(SKU_Register!$H$5:$H$22,MATCH(D25,SKU_Register!$A$5:$A$22,0))</f>
        <v>10.835364</v>
      </c>
      <c r="H25" s="24" t="n">
        <f aca="false">Rate_Sheet!$F$11</f>
        <v>9520.96069868996</v>
      </c>
      <c r="I25" s="21" t="n">
        <f aca="false">G25*H25</f>
        <v>103163.0748</v>
      </c>
      <c r="J25" s="21" t="n">
        <f aca="false">E25*INDEX(SKU_Register!$K$5:$K$22,MATCH(D25,SKU_Register!$A$5:$A$22,0))</f>
        <v>6162.909</v>
      </c>
      <c r="K25" s="22" t="n">
        <v>0</v>
      </c>
      <c r="L25" s="21" t="n">
        <f aca="false">J25*(1-K25)</f>
        <v>6162.909</v>
      </c>
      <c r="M25" s="21" t="n">
        <f aca="false">J25-L25</f>
        <v>0</v>
      </c>
      <c r="N25" s="19" t="n">
        <v>0.248</v>
      </c>
      <c r="O25" s="21" t="n">
        <f aca="false">N25*H25</f>
        <v>2361.19825327511</v>
      </c>
      <c r="P25" s="21" t="n">
        <f aca="false">I25+L25-O25</f>
        <v>106964.785546725</v>
      </c>
    </row>
    <row r="26" customFormat="false" ht="15" hidden="false" customHeight="false" outlineLevel="0" collapsed="false">
      <c r="A26" s="12" t="n">
        <v>46303</v>
      </c>
      <c r="B26" s="13" t="str">
        <f aca="false">TEXT(A26,"YYYY-MM")</f>
        <v>2026-10</v>
      </c>
      <c r="C26" s="13" t="s">
        <v>149</v>
      </c>
      <c r="D26" s="17" t="s">
        <v>98</v>
      </c>
      <c r="E26" s="17" t="n">
        <v>1</v>
      </c>
      <c r="F26" s="20" t="n">
        <f aca="false">E26*INDEX(SKU_Register!$G$5:$G$22,MATCH(D26,SKU_Register!$A$5:$A$22,0))</f>
        <v>40.02</v>
      </c>
      <c r="G26" s="20" t="n">
        <f aca="false">E26*INDEX(SKU_Register!$H$5:$H$22,MATCH(D26,SKU_Register!$A$5:$A$22,0))</f>
        <v>36.65832</v>
      </c>
      <c r="H26" s="24" t="n">
        <f aca="false">Rate_Sheet!$F$11</f>
        <v>9520.96069868996</v>
      </c>
      <c r="I26" s="21" t="n">
        <f aca="false">G26*H26</f>
        <v>349022.424</v>
      </c>
      <c r="J26" s="21" t="n">
        <f aca="false">E26*INDEX(SKU_Register!$K$5:$K$22,MATCH(D26,SKU_Register!$A$5:$A$22,0))</f>
        <v>23451.72</v>
      </c>
      <c r="K26" s="22" t="n">
        <v>0.1</v>
      </c>
      <c r="L26" s="21" t="n">
        <f aca="false">J26*(1-K26)</f>
        <v>21106.548</v>
      </c>
      <c r="M26" s="21" t="n">
        <f aca="false">J26-L26</f>
        <v>2345.172</v>
      </c>
      <c r="N26" s="19" t="n">
        <v>0</v>
      </c>
      <c r="O26" s="21" t="n">
        <f aca="false">N26*H26</f>
        <v>0</v>
      </c>
      <c r="P26" s="21" t="n">
        <f aca="false">I26+L26-O26</f>
        <v>370128.972</v>
      </c>
    </row>
    <row r="27" customFormat="false" ht="15" hidden="false" customHeight="false" outlineLevel="0" collapsed="false">
      <c r="A27" s="12" t="n">
        <v>46303</v>
      </c>
      <c r="B27" s="13" t="str">
        <f aca="false">TEXT(A27,"YYYY-MM")</f>
        <v>2026-10</v>
      </c>
      <c r="C27" s="13" t="s">
        <v>150</v>
      </c>
      <c r="D27" s="17" t="s">
        <v>87</v>
      </c>
      <c r="E27" s="17" t="n">
        <v>2</v>
      </c>
      <c r="F27" s="20" t="n">
        <f aca="false">E27*INDEX(SKU_Register!$G$5:$G$22,MATCH(D27,SKU_Register!$A$5:$A$22,0))</f>
        <v>53.218</v>
      </c>
      <c r="G27" s="20" t="n">
        <f aca="false">E27*INDEX(SKU_Register!$H$5:$H$22,MATCH(D27,SKU_Register!$A$5:$A$22,0))</f>
        <v>48.747688</v>
      </c>
      <c r="H27" s="24" t="n">
        <f aca="false">Rate_Sheet!$F$11</f>
        <v>9520.96069868996</v>
      </c>
      <c r="I27" s="21" t="n">
        <f aca="false">G27*H27</f>
        <v>464124.8216</v>
      </c>
      <c r="J27" s="21" t="n">
        <f aca="false">E27*INDEX(SKU_Register!$K$5:$K$22,MATCH(D27,SKU_Register!$A$5:$A$22,0))</f>
        <v>24107.754</v>
      </c>
      <c r="K27" s="22" t="n">
        <v>0.2</v>
      </c>
      <c r="L27" s="21" t="n">
        <f aca="false">J27*(1-K27)</f>
        <v>19286.2032</v>
      </c>
      <c r="M27" s="21" t="n">
        <f aca="false">J27-L27</f>
        <v>4821.5508</v>
      </c>
      <c r="N27" s="19" t="n">
        <v>0</v>
      </c>
      <c r="O27" s="21" t="n">
        <f aca="false">N27*H27</f>
        <v>0</v>
      </c>
      <c r="P27" s="21" t="n">
        <f aca="false">I27+L27-O27</f>
        <v>483411.0248</v>
      </c>
    </row>
    <row r="28" customFormat="false" ht="15" hidden="false" customHeight="false" outlineLevel="0" collapsed="false">
      <c r="A28" s="12" t="n">
        <v>46304</v>
      </c>
      <c r="B28" s="13" t="str">
        <f aca="false">TEXT(A28,"YYYY-MM")</f>
        <v>2026-10</v>
      </c>
      <c r="C28" s="13" t="s">
        <v>151</v>
      </c>
      <c r="D28" s="17" t="s">
        <v>99</v>
      </c>
      <c r="E28" s="17" t="n">
        <v>1</v>
      </c>
      <c r="F28" s="20" t="n">
        <f aca="false">E28*INDEX(SKU_Register!$G$5:$G$22,MATCH(D28,SKU_Register!$A$5:$A$22,0))</f>
        <v>29.69</v>
      </c>
      <c r="G28" s="20" t="n">
        <f aca="false">E28*INDEX(SKU_Register!$H$5:$H$22,MATCH(D28,SKU_Register!$A$5:$A$22,0))</f>
        <v>27.19604</v>
      </c>
      <c r="H28" s="24" t="n">
        <f aca="false">Rate_Sheet!$F$12</f>
        <v>9520.96069868996</v>
      </c>
      <c r="I28" s="21" t="n">
        <f aca="false">G28*H28</f>
        <v>258932.428</v>
      </c>
      <c r="J28" s="21" t="n">
        <f aca="false">E28*INDEX(SKU_Register!$K$5:$K$22,MATCH(D28,SKU_Register!$A$5:$A$22,0))</f>
        <v>32893.901377628</v>
      </c>
      <c r="K28" s="22" t="n">
        <v>0.15</v>
      </c>
      <c r="L28" s="21" t="n">
        <f aca="false">J28*(1-K28)</f>
        <v>27959.8161709838</v>
      </c>
      <c r="M28" s="21" t="n">
        <f aca="false">J28-L28</f>
        <v>4934.0852066442</v>
      </c>
      <c r="N28" s="19" t="n">
        <v>0</v>
      </c>
      <c r="O28" s="21" t="n">
        <f aca="false">N28*H28</f>
        <v>0</v>
      </c>
      <c r="P28" s="21" t="n">
        <f aca="false">I28+L28-O28</f>
        <v>286892.244170984</v>
      </c>
    </row>
    <row r="29" customFormat="false" ht="15" hidden="false" customHeight="false" outlineLevel="0" collapsed="false">
      <c r="A29" s="12" t="n">
        <v>46304</v>
      </c>
      <c r="B29" s="13" t="str">
        <f aca="false">TEXT(A29,"YYYY-MM")</f>
        <v>2026-10</v>
      </c>
      <c r="C29" s="13" t="s">
        <v>152</v>
      </c>
      <c r="D29" s="17" t="s">
        <v>87</v>
      </c>
      <c r="E29" s="17" t="n">
        <v>1</v>
      </c>
      <c r="F29" s="20" t="n">
        <f aca="false">E29*INDEX(SKU_Register!$G$5:$G$22,MATCH(D29,SKU_Register!$A$5:$A$22,0))</f>
        <v>26.609</v>
      </c>
      <c r="G29" s="20" t="n">
        <f aca="false">E29*INDEX(SKU_Register!$H$5:$H$22,MATCH(D29,SKU_Register!$A$5:$A$22,0))</f>
        <v>24.373844</v>
      </c>
      <c r="H29" s="24" t="n">
        <f aca="false">Rate_Sheet!$F$12</f>
        <v>9520.96069868996</v>
      </c>
      <c r="I29" s="21" t="n">
        <f aca="false">G29*H29</f>
        <v>232062.4108</v>
      </c>
      <c r="J29" s="21" t="n">
        <f aca="false">E29*INDEX(SKU_Register!$K$5:$K$22,MATCH(D29,SKU_Register!$A$5:$A$22,0))</f>
        <v>12053.877</v>
      </c>
      <c r="K29" s="22" t="n">
        <v>0.2</v>
      </c>
      <c r="L29" s="21" t="n">
        <f aca="false">J29*(1-K29)</f>
        <v>9643.1016</v>
      </c>
      <c r="M29" s="21" t="n">
        <f aca="false">J29-L29</f>
        <v>2410.7754</v>
      </c>
      <c r="N29" s="19" t="n">
        <v>0</v>
      </c>
      <c r="O29" s="21" t="n">
        <f aca="false">N29*H29</f>
        <v>0</v>
      </c>
      <c r="P29" s="21" t="n">
        <f aca="false">I29+L29-O29</f>
        <v>241705.5124</v>
      </c>
    </row>
    <row r="30" customFormat="false" ht="15" hidden="false" customHeight="false" outlineLevel="0" collapsed="false">
      <c r="A30" s="12" t="n">
        <v>46304</v>
      </c>
      <c r="B30" s="13" t="str">
        <f aca="false">TEXT(A30,"YYYY-MM")</f>
        <v>2026-10</v>
      </c>
      <c r="C30" s="13" t="s">
        <v>153</v>
      </c>
      <c r="D30" s="17" t="s">
        <v>85</v>
      </c>
      <c r="E30" s="17" t="n">
        <v>2</v>
      </c>
      <c r="F30" s="20" t="n">
        <f aca="false">E30*INDEX(SKU_Register!$G$5:$G$22,MATCH(D30,SKU_Register!$A$5:$A$22,0))</f>
        <v>61.15</v>
      </c>
      <c r="G30" s="20" t="n">
        <f aca="false">E30*INDEX(SKU_Register!$H$5:$H$22,MATCH(D30,SKU_Register!$A$5:$A$22,0))</f>
        <v>56.0134</v>
      </c>
      <c r="H30" s="24" t="n">
        <f aca="false">Rate_Sheet!$F$12</f>
        <v>9520.96069868996</v>
      </c>
      <c r="I30" s="21" t="n">
        <f aca="false">G30*H30</f>
        <v>533301.38</v>
      </c>
      <c r="J30" s="21" t="n">
        <f aca="false">E30*INDEX(SKU_Register!$K$5:$K$22,MATCH(D30,SKU_Register!$A$5:$A$22,0))</f>
        <v>55023.365395536</v>
      </c>
      <c r="K30" s="22" t="n">
        <v>0.1</v>
      </c>
      <c r="L30" s="21" t="n">
        <f aca="false">J30*(1-K30)</f>
        <v>49521.0288559824</v>
      </c>
      <c r="M30" s="21" t="n">
        <f aca="false">J30-L30</f>
        <v>5502.3365395536</v>
      </c>
      <c r="N30" s="19" t="n">
        <v>0</v>
      </c>
      <c r="O30" s="21" t="n">
        <f aca="false">N30*H30</f>
        <v>0</v>
      </c>
      <c r="P30" s="21" t="n">
        <f aca="false">I30+L30-O30</f>
        <v>582822.408855982</v>
      </c>
    </row>
    <row r="31" customFormat="false" ht="15" hidden="false" customHeight="false" outlineLevel="0" collapsed="false">
      <c r="A31" s="12" t="n">
        <v>46305</v>
      </c>
      <c r="B31" s="13" t="str">
        <f aca="false">TEXT(A31,"YYYY-MM")</f>
        <v>2026-10</v>
      </c>
      <c r="C31" s="13" t="s">
        <v>154</v>
      </c>
      <c r="D31" s="17" t="s">
        <v>99</v>
      </c>
      <c r="E31" s="17" t="n">
        <v>1</v>
      </c>
      <c r="F31" s="20" t="n">
        <f aca="false">E31*INDEX(SKU_Register!$G$5:$G$22,MATCH(D31,SKU_Register!$A$5:$A$22,0))</f>
        <v>29.69</v>
      </c>
      <c r="G31" s="20" t="n">
        <f aca="false">E31*INDEX(SKU_Register!$H$5:$H$22,MATCH(D31,SKU_Register!$A$5:$A$22,0))</f>
        <v>27.19604</v>
      </c>
      <c r="H31" s="24" t="n">
        <f aca="false">Rate_Sheet!$F$13</f>
        <v>9674.43231441048</v>
      </c>
      <c r="I31" s="21" t="n">
        <f aca="false">G31*H31</f>
        <v>263106.2482</v>
      </c>
      <c r="J31" s="21" t="n">
        <f aca="false">E31*INDEX(SKU_Register!$K$5:$K$22,MATCH(D31,SKU_Register!$A$5:$A$22,0))</f>
        <v>32893.901377628</v>
      </c>
      <c r="K31" s="22" t="n">
        <v>0.2</v>
      </c>
      <c r="L31" s="21" t="n">
        <f aca="false">J31*(1-K31)</f>
        <v>26315.1211021024</v>
      </c>
      <c r="M31" s="21" t="n">
        <f aca="false">J31-L31</f>
        <v>6578.7802755256</v>
      </c>
      <c r="N31" s="19" t="n">
        <v>0</v>
      </c>
      <c r="O31" s="21" t="n">
        <f aca="false">N31*H31</f>
        <v>0</v>
      </c>
      <c r="P31" s="21" t="n">
        <f aca="false">I31+L31-O31</f>
        <v>289421.369302102</v>
      </c>
    </row>
    <row r="32" customFormat="false" ht="15" hidden="false" customHeight="false" outlineLevel="0" collapsed="false">
      <c r="A32" s="12" t="n">
        <v>46305</v>
      </c>
      <c r="B32" s="13" t="str">
        <f aca="false">TEXT(A32,"YYYY-MM")</f>
        <v>2026-10</v>
      </c>
      <c r="C32" s="13" t="s">
        <v>155</v>
      </c>
      <c r="D32" s="17" t="s">
        <v>80</v>
      </c>
      <c r="E32" s="17" t="n">
        <v>2</v>
      </c>
      <c r="F32" s="20" t="n">
        <f aca="false">E32*INDEX(SKU_Register!$G$5:$G$22,MATCH(D32,SKU_Register!$A$5:$A$22,0))</f>
        <v>65.942</v>
      </c>
      <c r="G32" s="20" t="n">
        <f aca="false">E32*INDEX(SKU_Register!$H$5:$H$22,MATCH(D32,SKU_Register!$A$5:$A$22,0))</f>
        <v>60.402872</v>
      </c>
      <c r="H32" s="24" t="n">
        <f aca="false">Rate_Sheet!$F$13</f>
        <v>9674.43231441048</v>
      </c>
      <c r="I32" s="21" t="n">
        <f aca="false">G32*H32</f>
        <v>584363.49676</v>
      </c>
      <c r="J32" s="21" t="n">
        <f aca="false">E32*INDEX(SKU_Register!$K$5:$K$22,MATCH(D32,SKU_Register!$A$5:$A$22,0))</f>
        <v>64890.9890143309</v>
      </c>
      <c r="K32" s="22" t="n">
        <v>0.15</v>
      </c>
      <c r="L32" s="21" t="n">
        <f aca="false">J32*(1-K32)</f>
        <v>55157.3406621812</v>
      </c>
      <c r="M32" s="21" t="n">
        <f aca="false">J32-L32</f>
        <v>9733.64835214963</v>
      </c>
      <c r="N32" s="19" t="n">
        <v>0</v>
      </c>
      <c r="O32" s="21" t="n">
        <f aca="false">N32*H32</f>
        <v>0</v>
      </c>
      <c r="P32" s="21" t="n">
        <f aca="false">I32+L32-O32</f>
        <v>639520.837422181</v>
      </c>
    </row>
    <row r="33" customFormat="false" ht="15" hidden="false" customHeight="false" outlineLevel="0" collapsed="false">
      <c r="A33" s="12" t="n">
        <v>46305</v>
      </c>
      <c r="B33" s="13" t="str">
        <f aca="false">TEXT(A33,"YYYY-MM")</f>
        <v>2026-10</v>
      </c>
      <c r="C33" s="13" t="s">
        <v>156</v>
      </c>
      <c r="D33" s="17" t="s">
        <v>85</v>
      </c>
      <c r="E33" s="17" t="n">
        <v>1</v>
      </c>
      <c r="F33" s="20" t="n">
        <f aca="false">E33*INDEX(SKU_Register!$G$5:$G$22,MATCH(D33,SKU_Register!$A$5:$A$22,0))</f>
        <v>30.575</v>
      </c>
      <c r="G33" s="20" t="n">
        <f aca="false">E33*INDEX(SKU_Register!$H$5:$H$22,MATCH(D33,SKU_Register!$A$5:$A$22,0))</f>
        <v>28.0067</v>
      </c>
      <c r="H33" s="24" t="n">
        <f aca="false">Rate_Sheet!$F$13</f>
        <v>9674.43231441048</v>
      </c>
      <c r="I33" s="21" t="n">
        <f aca="false">G33*H33</f>
        <v>270948.9235</v>
      </c>
      <c r="J33" s="21" t="n">
        <f aca="false">E33*INDEX(SKU_Register!$K$5:$K$22,MATCH(D33,SKU_Register!$A$5:$A$22,0))</f>
        <v>27511.682697768</v>
      </c>
      <c r="K33" s="22" t="n">
        <v>0.3</v>
      </c>
      <c r="L33" s="21" t="n">
        <f aca="false">J33*(1-K33)</f>
        <v>19258.1778884376</v>
      </c>
      <c r="M33" s="21" t="n">
        <f aca="false">J33-L33</f>
        <v>8253.5048093304</v>
      </c>
      <c r="N33" s="19" t="n">
        <v>0</v>
      </c>
      <c r="O33" s="21" t="n">
        <f aca="false">N33*H33</f>
        <v>0</v>
      </c>
      <c r="P33" s="21" t="n">
        <f aca="false">I33+L33-O33</f>
        <v>290207.101388438</v>
      </c>
    </row>
    <row r="34" customFormat="false" ht="15" hidden="false" customHeight="false" outlineLevel="0" collapsed="false">
      <c r="A34" s="12" t="n">
        <v>46307</v>
      </c>
      <c r="B34" s="13" t="str">
        <f aca="false">TEXT(A34,"YYYY-MM")</f>
        <v>2026-10</v>
      </c>
      <c r="C34" s="13" t="s">
        <v>157</v>
      </c>
      <c r="D34" s="17" t="s">
        <v>97</v>
      </c>
      <c r="E34" s="17" t="n">
        <v>1</v>
      </c>
      <c r="F34" s="20" t="n">
        <f aca="false">E34*INDEX(SKU_Register!$G$5:$G$22,MATCH(D34,SKU_Register!$A$5:$A$22,0))</f>
        <v>5.71</v>
      </c>
      <c r="G34" s="20" t="n">
        <f aca="false">E34*INDEX(SKU_Register!$H$5:$H$22,MATCH(D34,SKU_Register!$A$5:$A$22,0))</f>
        <v>5.23036</v>
      </c>
      <c r="H34" s="24" t="n">
        <f aca="false">Rate_Sheet!$F$14</f>
        <v>9674.43231441048</v>
      </c>
      <c r="I34" s="21" t="n">
        <f aca="false">G34*H34</f>
        <v>50600.7638</v>
      </c>
      <c r="J34" s="21" t="n">
        <f aca="false">E34*INDEX(SKU_Register!$K$5:$K$22,MATCH(D34,SKU_Register!$A$5:$A$22,0))</f>
        <v>2289.71</v>
      </c>
      <c r="K34" s="22" t="n">
        <v>0.3</v>
      </c>
      <c r="L34" s="21" t="n">
        <f aca="false">J34*(1-K34)</f>
        <v>1602.797</v>
      </c>
      <c r="M34" s="21" t="n">
        <f aca="false">J34-L34</f>
        <v>686.913</v>
      </c>
      <c r="N34" s="19" t="n">
        <v>12.268</v>
      </c>
      <c r="O34" s="21" t="n">
        <f aca="false">N34*H34</f>
        <v>118685.935633188</v>
      </c>
      <c r="P34" s="21" t="n">
        <f aca="false">I34+L34-O34</f>
        <v>-66482.3748331878</v>
      </c>
    </row>
    <row r="35" customFormat="false" ht="15" hidden="false" customHeight="false" outlineLevel="0" collapsed="false">
      <c r="A35" s="12" t="n">
        <v>46307</v>
      </c>
      <c r="B35" s="13" t="str">
        <f aca="false">TEXT(A35,"YYYY-MM")</f>
        <v>2026-10</v>
      </c>
      <c r="C35" s="13" t="s">
        <v>158</v>
      </c>
      <c r="D35" s="17" t="s">
        <v>94</v>
      </c>
      <c r="E35" s="17" t="n">
        <v>2</v>
      </c>
      <c r="F35" s="20" t="n">
        <f aca="false">E35*INDEX(SKU_Register!$G$5:$G$22,MATCH(D35,SKU_Register!$A$5:$A$22,0))</f>
        <v>25.12</v>
      </c>
      <c r="G35" s="20" t="n">
        <f aca="false">E35*INDEX(SKU_Register!$H$5:$H$22,MATCH(D35,SKU_Register!$A$5:$A$22,0))</f>
        <v>18.84</v>
      </c>
      <c r="H35" s="24" t="n">
        <f aca="false">Rate_Sheet!$F$14</f>
        <v>9674.43231441048</v>
      </c>
      <c r="I35" s="21" t="n">
        <f aca="false">G35*H35</f>
        <v>182266.304803493</v>
      </c>
      <c r="J35" s="21" t="n">
        <f aca="false">E35*INDEX(SKU_Register!$K$5:$K$22,MATCH(D35,SKU_Register!$A$5:$A$22,0))</f>
        <v>19321.450548</v>
      </c>
      <c r="K35" s="22" t="n">
        <v>0.25</v>
      </c>
      <c r="L35" s="21" t="n">
        <f aca="false">J35*(1-K35)</f>
        <v>14491.087911</v>
      </c>
      <c r="M35" s="21" t="n">
        <f aca="false">J35-L35</f>
        <v>4830.362637</v>
      </c>
      <c r="N35" s="19" t="n">
        <v>13.65</v>
      </c>
      <c r="O35" s="21" t="n">
        <f aca="false">N35*H35</f>
        <v>132056.001091703</v>
      </c>
      <c r="P35" s="21" t="n">
        <f aca="false">I35+L35-O35</f>
        <v>64701.3916227904</v>
      </c>
    </row>
    <row r="36" customFormat="false" ht="15" hidden="false" customHeight="false" outlineLevel="0" collapsed="false">
      <c r="A36" s="12" t="n">
        <v>46307</v>
      </c>
      <c r="B36" s="13" t="str">
        <f aca="false">TEXT(A36,"YYYY-MM")</f>
        <v>2026-10</v>
      </c>
      <c r="C36" s="13" t="s">
        <v>159</v>
      </c>
      <c r="D36" s="17" t="s">
        <v>99</v>
      </c>
      <c r="E36" s="17" t="n">
        <v>1</v>
      </c>
      <c r="F36" s="20" t="n">
        <f aca="false">E36*INDEX(SKU_Register!$G$5:$G$22,MATCH(D36,SKU_Register!$A$5:$A$22,0))</f>
        <v>29.69</v>
      </c>
      <c r="G36" s="20" t="n">
        <f aca="false">E36*INDEX(SKU_Register!$H$5:$H$22,MATCH(D36,SKU_Register!$A$5:$A$22,0))</f>
        <v>27.19604</v>
      </c>
      <c r="H36" s="24" t="n">
        <f aca="false">Rate_Sheet!$F$14</f>
        <v>9674.43231441048</v>
      </c>
      <c r="I36" s="21" t="n">
        <f aca="false">G36*H36</f>
        <v>263106.2482</v>
      </c>
      <c r="J36" s="21" t="n">
        <f aca="false">E36*INDEX(SKU_Register!$K$5:$K$22,MATCH(D36,SKU_Register!$A$5:$A$22,0))</f>
        <v>32893.901377628</v>
      </c>
      <c r="K36" s="22" t="n">
        <v>0.2</v>
      </c>
      <c r="L36" s="21" t="n">
        <f aca="false">J36*(1-K36)</f>
        <v>26315.1211021024</v>
      </c>
      <c r="M36" s="21" t="n">
        <f aca="false">J36-L36</f>
        <v>6578.7802755256</v>
      </c>
      <c r="N36" s="19" t="n">
        <v>0</v>
      </c>
      <c r="O36" s="21" t="n">
        <f aca="false">N36*H36</f>
        <v>0</v>
      </c>
      <c r="P36" s="21" t="n">
        <f aca="false">I36+L36-O36</f>
        <v>289421.369302102</v>
      </c>
    </row>
    <row r="37" customFormat="false" ht="15" hidden="false" customHeight="false" outlineLevel="0" collapsed="false">
      <c r="A37" s="12" t="n">
        <v>46308</v>
      </c>
      <c r="B37" s="13" t="str">
        <f aca="false">TEXT(A37,"YYYY-MM")</f>
        <v>2026-10</v>
      </c>
      <c r="C37" s="13" t="s">
        <v>160</v>
      </c>
      <c r="D37" s="17" t="s">
        <v>89</v>
      </c>
      <c r="E37" s="17" t="n">
        <v>2</v>
      </c>
      <c r="F37" s="20" t="n">
        <f aca="false">E37*INDEX(SKU_Register!$G$5:$G$22,MATCH(D37,SKU_Register!$A$5:$A$22,0))</f>
        <v>46.974</v>
      </c>
      <c r="G37" s="20" t="n">
        <f aca="false">E37*INDEX(SKU_Register!$H$5:$H$22,MATCH(D37,SKU_Register!$A$5:$A$22,0))</f>
        <v>35.2305</v>
      </c>
      <c r="H37" s="24" t="n">
        <f aca="false">Rate_Sheet!$F$15</f>
        <v>9674.43231441048</v>
      </c>
      <c r="I37" s="21" t="n">
        <f aca="false">G37*H37</f>
        <v>340835.087652838</v>
      </c>
      <c r="J37" s="21" t="n">
        <f aca="false">E37*INDEX(SKU_Register!$K$5:$K$22,MATCH(D37,SKU_Register!$A$5:$A$22,0))</f>
        <v>33311.62995012</v>
      </c>
      <c r="K37" s="22" t="n">
        <v>0</v>
      </c>
      <c r="L37" s="21" t="n">
        <f aca="false">J37*(1-K37)</f>
        <v>33311.62995012</v>
      </c>
      <c r="M37" s="21" t="n">
        <f aca="false">J37-L37</f>
        <v>0</v>
      </c>
      <c r="N37" s="19" t="n">
        <v>0</v>
      </c>
      <c r="O37" s="21" t="n">
        <f aca="false">N37*H37</f>
        <v>0</v>
      </c>
      <c r="P37" s="21" t="n">
        <f aca="false">I37+L37-O37</f>
        <v>374146.717602958</v>
      </c>
    </row>
    <row r="38" customFormat="false" ht="15" hidden="false" customHeight="false" outlineLevel="0" collapsed="false">
      <c r="A38" s="12" t="n">
        <v>46308</v>
      </c>
      <c r="B38" s="13" t="str">
        <f aca="false">TEXT(A38,"YYYY-MM")</f>
        <v>2026-10</v>
      </c>
      <c r="C38" s="13" t="s">
        <v>161</v>
      </c>
      <c r="D38" s="17" t="s">
        <v>92</v>
      </c>
      <c r="E38" s="17" t="n">
        <v>1</v>
      </c>
      <c r="F38" s="20" t="n">
        <f aca="false">E38*INDEX(SKU_Register!$G$5:$G$22,MATCH(D38,SKU_Register!$A$5:$A$22,0))</f>
        <v>15.222</v>
      </c>
      <c r="G38" s="20" t="n">
        <f aca="false">E38*INDEX(SKU_Register!$H$5:$H$22,MATCH(D38,SKU_Register!$A$5:$A$22,0))</f>
        <v>13.943352</v>
      </c>
      <c r="H38" s="24" t="n">
        <f aca="false">Rate_Sheet!$F$15</f>
        <v>9674.43231441048</v>
      </c>
      <c r="I38" s="21" t="n">
        <f aca="false">G38*H38</f>
        <v>134894.01516</v>
      </c>
      <c r="J38" s="21" t="n">
        <f aca="false">E38*INDEX(SKU_Register!$K$5:$K$22,MATCH(D38,SKU_Register!$A$5:$A$22,0))</f>
        <v>6088.8</v>
      </c>
      <c r="K38" s="22" t="n">
        <v>0.2</v>
      </c>
      <c r="L38" s="21" t="n">
        <f aca="false">J38*(1-K38)</f>
        <v>4871.04</v>
      </c>
      <c r="M38" s="21" t="n">
        <f aca="false">J38-L38</f>
        <v>1217.76</v>
      </c>
      <c r="N38" s="19" t="n">
        <v>0</v>
      </c>
      <c r="O38" s="21" t="n">
        <f aca="false">N38*H38</f>
        <v>0</v>
      </c>
      <c r="P38" s="21" t="n">
        <f aca="false">I38+L38-O38</f>
        <v>139765.05516</v>
      </c>
    </row>
    <row r="39" customFormat="false" ht="15" hidden="false" customHeight="false" outlineLevel="0" collapsed="false">
      <c r="A39" s="12" t="n">
        <v>46308</v>
      </c>
      <c r="B39" s="13" t="str">
        <f aca="false">TEXT(A39,"YYYY-MM")</f>
        <v>2026-10</v>
      </c>
      <c r="C39" s="13" t="s">
        <v>162</v>
      </c>
      <c r="D39" s="17" t="s">
        <v>78</v>
      </c>
      <c r="E39" s="17" t="n">
        <v>2</v>
      </c>
      <c r="F39" s="20" t="n">
        <f aca="false">E39*INDEX(SKU_Register!$G$5:$G$22,MATCH(D39,SKU_Register!$A$5:$A$22,0))</f>
        <v>53.868</v>
      </c>
      <c r="G39" s="20" t="n">
        <f aca="false">E39*INDEX(SKU_Register!$H$5:$H$22,MATCH(D39,SKU_Register!$A$5:$A$22,0))</f>
        <v>49.343088</v>
      </c>
      <c r="H39" s="24" t="n">
        <f aca="false">Rate_Sheet!$F$15</f>
        <v>9674.43231441048</v>
      </c>
      <c r="I39" s="21" t="n">
        <f aca="false">G39*H39</f>
        <v>477366.36504</v>
      </c>
      <c r="J39" s="21" t="n">
        <f aca="false">E39*INDEX(SKU_Register!$K$5:$K$22,MATCH(D39,SKU_Register!$A$5:$A$22,0))</f>
        <v>21008.52</v>
      </c>
      <c r="K39" s="22" t="n">
        <v>0.25</v>
      </c>
      <c r="L39" s="21" t="n">
        <f aca="false">J39*(1-K39)</f>
        <v>15756.39</v>
      </c>
      <c r="M39" s="21" t="n">
        <f aca="false">J39-L39</f>
        <v>5252.13</v>
      </c>
      <c r="N39" s="19" t="n">
        <v>0</v>
      </c>
      <c r="O39" s="21" t="n">
        <f aca="false">N39*H39</f>
        <v>0</v>
      </c>
      <c r="P39" s="21" t="n">
        <f aca="false">I39+L39-O39</f>
        <v>493122.75504</v>
      </c>
    </row>
    <row r="40" customFormat="false" ht="15" hidden="false" customHeight="false" outlineLevel="0" collapsed="false">
      <c r="A40" s="12" t="n">
        <v>46309</v>
      </c>
      <c r="B40" s="13" t="str">
        <f aca="false">TEXT(A40,"YYYY-MM")</f>
        <v>2026-10</v>
      </c>
      <c r="C40" s="13" t="s">
        <v>163</v>
      </c>
      <c r="D40" s="17" t="s">
        <v>90</v>
      </c>
      <c r="E40" s="17" t="n">
        <v>1</v>
      </c>
      <c r="F40" s="20" t="n">
        <f aca="false">E40*INDEX(SKU_Register!$G$5:$G$22,MATCH(D40,SKU_Register!$A$5:$A$22,0))</f>
        <v>28.689</v>
      </c>
      <c r="G40" s="20" t="n">
        <f aca="false">E40*INDEX(SKU_Register!$H$5:$H$22,MATCH(D40,SKU_Register!$A$5:$A$22,0))</f>
        <v>26.279124</v>
      </c>
      <c r="H40" s="24" t="n">
        <f aca="false">Rate_Sheet!$F$16</f>
        <v>9674.43231441048</v>
      </c>
      <c r="I40" s="21" t="n">
        <f aca="false">G40*H40</f>
        <v>254235.60642</v>
      </c>
      <c r="J40" s="21" t="n">
        <f aca="false">E40*INDEX(SKU_Register!$K$5:$K$22,MATCH(D40,SKU_Register!$A$5:$A$22,0))</f>
        <v>29730.3455874456</v>
      </c>
      <c r="K40" s="22" t="n">
        <v>0.2</v>
      </c>
      <c r="L40" s="21" t="n">
        <f aca="false">J40*(1-K40)</f>
        <v>23784.2764699565</v>
      </c>
      <c r="M40" s="21" t="n">
        <f aca="false">J40-L40</f>
        <v>5946.06911748912</v>
      </c>
      <c r="N40" s="19" t="n">
        <v>0</v>
      </c>
      <c r="O40" s="21" t="n">
        <f aca="false">N40*H40</f>
        <v>0</v>
      </c>
      <c r="P40" s="21" t="n">
        <f aca="false">I40+L40-O40</f>
        <v>278019.882889956</v>
      </c>
    </row>
    <row r="41" customFormat="false" ht="15" hidden="false" customHeight="false" outlineLevel="0" collapsed="false">
      <c r="A41" s="12" t="n">
        <v>46309</v>
      </c>
      <c r="B41" s="13" t="str">
        <f aca="false">TEXT(A41,"YYYY-MM")</f>
        <v>2026-10</v>
      </c>
      <c r="C41" s="13" t="s">
        <v>164</v>
      </c>
      <c r="D41" s="17" t="s">
        <v>75</v>
      </c>
      <c r="E41" s="17" t="n">
        <v>1</v>
      </c>
      <c r="F41" s="20" t="n">
        <f aca="false">E41*INDEX(SKU_Register!$G$5:$G$22,MATCH(D41,SKU_Register!$A$5:$A$22,0))</f>
        <v>27.563</v>
      </c>
      <c r="G41" s="20" t="n">
        <f aca="false">E41*INDEX(SKU_Register!$H$5:$H$22,MATCH(D41,SKU_Register!$A$5:$A$22,0))</f>
        <v>25.247708</v>
      </c>
      <c r="H41" s="24" t="n">
        <f aca="false">Rate_Sheet!$F$16</f>
        <v>9674.43231441048</v>
      </c>
      <c r="I41" s="21" t="n">
        <f aca="false">G41*H41</f>
        <v>244257.24214</v>
      </c>
      <c r="J41" s="21" t="n">
        <f aca="false">E41*INDEX(SKU_Register!$K$5:$K$22,MATCH(D41,SKU_Register!$A$5:$A$22,0))</f>
        <v>16923.682</v>
      </c>
      <c r="K41" s="22" t="n">
        <v>0</v>
      </c>
      <c r="L41" s="21" t="n">
        <f aca="false">J41*(1-K41)</f>
        <v>16923.682</v>
      </c>
      <c r="M41" s="21" t="n">
        <f aca="false">J41-L41</f>
        <v>0</v>
      </c>
      <c r="N41" s="19" t="n">
        <v>0</v>
      </c>
      <c r="O41" s="21" t="n">
        <f aca="false">N41*H41</f>
        <v>0</v>
      </c>
      <c r="P41" s="21" t="n">
        <f aca="false">I41+L41-O41</f>
        <v>261180.92414</v>
      </c>
    </row>
    <row r="42" customFormat="false" ht="15" hidden="false" customHeight="false" outlineLevel="0" collapsed="false">
      <c r="A42" s="12" t="n">
        <v>46309</v>
      </c>
      <c r="B42" s="13" t="str">
        <f aca="false">TEXT(A42,"YYYY-MM")</f>
        <v>2026-10</v>
      </c>
      <c r="C42" s="13" t="s">
        <v>165</v>
      </c>
      <c r="D42" s="17" t="s">
        <v>98</v>
      </c>
      <c r="E42" s="17" t="n">
        <v>1</v>
      </c>
      <c r="F42" s="20" t="n">
        <f aca="false">E42*INDEX(SKU_Register!$G$5:$G$22,MATCH(D42,SKU_Register!$A$5:$A$22,0))</f>
        <v>40.02</v>
      </c>
      <c r="G42" s="20" t="n">
        <f aca="false">E42*INDEX(SKU_Register!$H$5:$H$22,MATCH(D42,SKU_Register!$A$5:$A$22,0))</f>
        <v>36.65832</v>
      </c>
      <c r="H42" s="24" t="n">
        <f aca="false">Rate_Sheet!$F$16</f>
        <v>9674.43231441048</v>
      </c>
      <c r="I42" s="21" t="n">
        <f aca="false">G42*H42</f>
        <v>354648.4356</v>
      </c>
      <c r="J42" s="21" t="n">
        <f aca="false">E42*INDEX(SKU_Register!$K$5:$K$22,MATCH(D42,SKU_Register!$A$5:$A$22,0))</f>
        <v>23451.72</v>
      </c>
      <c r="K42" s="22" t="n">
        <v>0.05</v>
      </c>
      <c r="L42" s="21" t="n">
        <f aca="false">J42*(1-K42)</f>
        <v>22279.134</v>
      </c>
      <c r="M42" s="21" t="n">
        <f aca="false">J42-L42</f>
        <v>1172.586</v>
      </c>
      <c r="N42" s="19" t="n">
        <v>0</v>
      </c>
      <c r="O42" s="21" t="n">
        <f aca="false">N42*H42</f>
        <v>0</v>
      </c>
      <c r="P42" s="21" t="n">
        <f aca="false">I42+L42-O42</f>
        <v>376927.5696</v>
      </c>
    </row>
    <row r="43" customFormat="false" ht="15" hidden="false" customHeight="false" outlineLevel="0" collapsed="false">
      <c r="A43" s="12" t="n">
        <v>46310</v>
      </c>
      <c r="B43" s="13" t="str">
        <f aca="false">TEXT(A43,"YYYY-MM")</f>
        <v>2026-10</v>
      </c>
      <c r="C43" s="13" t="s">
        <v>166</v>
      </c>
      <c r="D43" s="17" t="s">
        <v>97</v>
      </c>
      <c r="E43" s="17" t="n">
        <v>1</v>
      </c>
      <c r="F43" s="20" t="n">
        <f aca="false">E43*INDEX(SKU_Register!$G$5:$G$22,MATCH(D43,SKU_Register!$A$5:$A$22,0))</f>
        <v>5.71</v>
      </c>
      <c r="G43" s="20" t="n">
        <f aca="false">E43*INDEX(SKU_Register!$H$5:$H$22,MATCH(D43,SKU_Register!$A$5:$A$22,0))</f>
        <v>5.23036</v>
      </c>
      <c r="H43" s="24" t="n">
        <f aca="false">Rate_Sheet!$F$17</f>
        <v>9612.8711790393</v>
      </c>
      <c r="I43" s="21" t="n">
        <f aca="false">G43*H43</f>
        <v>50278.7769</v>
      </c>
      <c r="J43" s="21" t="n">
        <f aca="false">E43*INDEX(SKU_Register!$K$5:$K$22,MATCH(D43,SKU_Register!$A$5:$A$22,0))</f>
        <v>2289.71</v>
      </c>
      <c r="K43" s="22" t="n">
        <v>0.2</v>
      </c>
      <c r="L43" s="21" t="n">
        <f aca="false">J43*(1-K43)</f>
        <v>1831.768</v>
      </c>
      <c r="M43" s="21" t="n">
        <f aca="false">J43-L43</f>
        <v>457.942</v>
      </c>
      <c r="N43" s="19" t="n">
        <v>0</v>
      </c>
      <c r="O43" s="21" t="n">
        <f aca="false">N43*H43</f>
        <v>0</v>
      </c>
      <c r="P43" s="21" t="n">
        <f aca="false">I43+L43-O43</f>
        <v>52110.5449</v>
      </c>
    </row>
    <row r="44" customFormat="false" ht="15" hidden="false" customHeight="false" outlineLevel="0" collapsed="false">
      <c r="A44" s="12" t="n">
        <v>46310</v>
      </c>
      <c r="B44" s="13" t="str">
        <f aca="false">TEXT(A44,"YYYY-MM")</f>
        <v>2026-10</v>
      </c>
      <c r="C44" s="13" t="s">
        <v>167</v>
      </c>
      <c r="D44" s="17" t="s">
        <v>75</v>
      </c>
      <c r="E44" s="17" t="n">
        <v>1</v>
      </c>
      <c r="F44" s="20" t="n">
        <f aca="false">E44*INDEX(SKU_Register!$G$5:$G$22,MATCH(D44,SKU_Register!$A$5:$A$22,0))</f>
        <v>27.563</v>
      </c>
      <c r="G44" s="20" t="n">
        <f aca="false">E44*INDEX(SKU_Register!$H$5:$H$22,MATCH(D44,SKU_Register!$A$5:$A$22,0))</f>
        <v>25.247708</v>
      </c>
      <c r="H44" s="24" t="n">
        <f aca="false">Rate_Sheet!$F$17</f>
        <v>9612.8711790393</v>
      </c>
      <c r="I44" s="21" t="n">
        <f aca="false">G44*H44</f>
        <v>242702.96457</v>
      </c>
      <c r="J44" s="21" t="n">
        <f aca="false">E44*INDEX(SKU_Register!$K$5:$K$22,MATCH(D44,SKU_Register!$A$5:$A$22,0))</f>
        <v>16923.682</v>
      </c>
      <c r="K44" s="22" t="n">
        <v>0.3</v>
      </c>
      <c r="L44" s="21" t="n">
        <f aca="false">J44*(1-K44)</f>
        <v>11846.5774</v>
      </c>
      <c r="M44" s="21" t="n">
        <f aca="false">J44-L44</f>
        <v>5077.1046</v>
      </c>
      <c r="N44" s="19" t="n">
        <v>14.142</v>
      </c>
      <c r="O44" s="21" t="n">
        <f aca="false">N44*H44</f>
        <v>135945.224213974</v>
      </c>
      <c r="P44" s="21" t="n">
        <f aca="false">I44+L44-O44</f>
        <v>118604.317756026</v>
      </c>
    </row>
    <row r="45" customFormat="false" ht="15" hidden="false" customHeight="false" outlineLevel="0" collapsed="false">
      <c r="A45" s="12" t="n">
        <v>46310</v>
      </c>
      <c r="B45" s="13" t="str">
        <f aca="false">TEXT(A45,"YYYY-MM")</f>
        <v>2026-10</v>
      </c>
      <c r="C45" s="13" t="s">
        <v>168</v>
      </c>
      <c r="D45" s="17" t="s">
        <v>91</v>
      </c>
      <c r="E45" s="17" t="n">
        <v>1</v>
      </c>
      <c r="F45" s="20" t="n">
        <f aca="false">E45*INDEX(SKU_Register!$G$5:$G$22,MATCH(D45,SKU_Register!$A$5:$A$22,0))</f>
        <v>34.656</v>
      </c>
      <c r="G45" s="20" t="n">
        <f aca="false">E45*INDEX(SKU_Register!$H$5:$H$22,MATCH(D45,SKU_Register!$A$5:$A$22,0))</f>
        <v>31.744896</v>
      </c>
      <c r="H45" s="24" t="n">
        <f aca="false">Rate_Sheet!$F$17</f>
        <v>9612.8711790393</v>
      </c>
      <c r="I45" s="21" t="n">
        <f aca="false">G45*H45</f>
        <v>305159.59584</v>
      </c>
      <c r="J45" s="21" t="n">
        <f aca="false">E45*INDEX(SKU_Register!$K$5:$K$22,MATCH(D45,SKU_Register!$A$5:$A$22,0))</f>
        <v>37753.4283326438</v>
      </c>
      <c r="K45" s="22" t="n">
        <v>0.05</v>
      </c>
      <c r="L45" s="21" t="n">
        <f aca="false">J45*(1-K45)</f>
        <v>35865.7569160117</v>
      </c>
      <c r="M45" s="21" t="n">
        <f aca="false">J45-L45</f>
        <v>1887.67141663219</v>
      </c>
      <c r="N45" s="19" t="n">
        <v>16.862</v>
      </c>
      <c r="O45" s="21" t="n">
        <f aca="false">N45*H45</f>
        <v>162092.233820961</v>
      </c>
      <c r="P45" s="21" t="n">
        <f aca="false">I45+L45-O45</f>
        <v>178933.118935051</v>
      </c>
    </row>
    <row r="46" customFormat="false" ht="15" hidden="false" customHeight="false" outlineLevel="0" collapsed="false">
      <c r="A46" s="12" t="n">
        <v>46310</v>
      </c>
      <c r="B46" s="13" t="str">
        <f aca="false">TEXT(A46,"YYYY-MM")</f>
        <v>2026-10</v>
      </c>
      <c r="C46" s="13" t="s">
        <v>169</v>
      </c>
      <c r="D46" s="17" t="s">
        <v>98</v>
      </c>
      <c r="E46" s="17" t="n">
        <v>2</v>
      </c>
      <c r="F46" s="20" t="n">
        <f aca="false">E46*INDEX(SKU_Register!$G$5:$G$22,MATCH(D46,SKU_Register!$A$5:$A$22,0))</f>
        <v>80.04</v>
      </c>
      <c r="G46" s="20" t="n">
        <f aca="false">E46*INDEX(SKU_Register!$H$5:$H$22,MATCH(D46,SKU_Register!$A$5:$A$22,0))</f>
        <v>73.31664</v>
      </c>
      <c r="H46" s="24" t="n">
        <f aca="false">Rate_Sheet!$F$17</f>
        <v>9612.8711790393</v>
      </c>
      <c r="I46" s="21" t="n">
        <f aca="false">G46*H46</f>
        <v>704783.4156</v>
      </c>
      <c r="J46" s="21" t="n">
        <f aca="false">E46*INDEX(SKU_Register!$K$5:$K$22,MATCH(D46,SKU_Register!$A$5:$A$22,0))</f>
        <v>46903.44</v>
      </c>
      <c r="K46" s="22" t="n">
        <v>0.25</v>
      </c>
      <c r="L46" s="21" t="n">
        <f aca="false">J46*(1-K46)</f>
        <v>35177.58</v>
      </c>
      <c r="M46" s="21" t="n">
        <f aca="false">J46-L46</f>
        <v>11725.86</v>
      </c>
      <c r="N46" s="19" t="n">
        <v>0</v>
      </c>
      <c r="O46" s="21" t="n">
        <f aca="false">N46*H46</f>
        <v>0</v>
      </c>
      <c r="P46" s="21" t="n">
        <f aca="false">I46+L46-O46</f>
        <v>739960.9956</v>
      </c>
    </row>
    <row r="47" customFormat="false" ht="15" hidden="false" customHeight="false" outlineLevel="0" collapsed="false">
      <c r="A47" s="12" t="n">
        <v>46311</v>
      </c>
      <c r="B47" s="13" t="str">
        <f aca="false">TEXT(A47,"YYYY-MM")</f>
        <v>2026-10</v>
      </c>
      <c r="C47" s="13" t="s">
        <v>170</v>
      </c>
      <c r="D47" s="17" t="s">
        <v>98</v>
      </c>
      <c r="E47" s="17" t="n">
        <v>1</v>
      </c>
      <c r="F47" s="20" t="n">
        <f aca="false">E47*INDEX(SKU_Register!$G$5:$G$22,MATCH(D47,SKU_Register!$A$5:$A$22,0))</f>
        <v>40.02</v>
      </c>
      <c r="G47" s="20" t="n">
        <f aca="false">E47*INDEX(SKU_Register!$H$5:$H$22,MATCH(D47,SKU_Register!$A$5:$A$22,0))</f>
        <v>36.65832</v>
      </c>
      <c r="H47" s="24" t="n">
        <f aca="false">Rate_Sheet!$F$18</f>
        <v>9612.8711790393</v>
      </c>
      <c r="I47" s="21" t="n">
        <f aca="false">G47*H47</f>
        <v>352391.7078</v>
      </c>
      <c r="J47" s="21" t="n">
        <f aca="false">E47*INDEX(SKU_Register!$K$5:$K$22,MATCH(D47,SKU_Register!$A$5:$A$22,0))</f>
        <v>23451.72</v>
      </c>
      <c r="K47" s="22" t="n">
        <v>0.1</v>
      </c>
      <c r="L47" s="21" t="n">
        <f aca="false">J47*(1-K47)</f>
        <v>21106.548</v>
      </c>
      <c r="M47" s="21" t="n">
        <f aca="false">J47-L47</f>
        <v>2345.172</v>
      </c>
      <c r="N47" s="19" t="n">
        <v>0</v>
      </c>
      <c r="O47" s="21" t="n">
        <f aca="false">N47*H47</f>
        <v>0</v>
      </c>
      <c r="P47" s="21" t="n">
        <f aca="false">I47+L47-O47</f>
        <v>373498.2558</v>
      </c>
    </row>
    <row r="48" customFormat="false" ht="15" hidden="false" customHeight="false" outlineLevel="0" collapsed="false">
      <c r="A48" s="12" t="n">
        <v>46311</v>
      </c>
      <c r="B48" s="13" t="str">
        <f aca="false">TEXT(A48,"YYYY-MM")</f>
        <v>2026-10</v>
      </c>
      <c r="C48" s="13" t="s">
        <v>171</v>
      </c>
      <c r="D48" s="17" t="s">
        <v>89</v>
      </c>
      <c r="E48" s="17" t="n">
        <v>1</v>
      </c>
      <c r="F48" s="20" t="n">
        <f aca="false">E48*INDEX(SKU_Register!$G$5:$G$22,MATCH(D48,SKU_Register!$A$5:$A$22,0))</f>
        <v>23.487</v>
      </c>
      <c r="G48" s="20" t="n">
        <f aca="false">E48*INDEX(SKU_Register!$H$5:$H$22,MATCH(D48,SKU_Register!$A$5:$A$22,0))</f>
        <v>17.61525</v>
      </c>
      <c r="H48" s="24" t="n">
        <f aca="false">Rate_Sheet!$F$18</f>
        <v>9612.8711790393</v>
      </c>
      <c r="I48" s="21" t="n">
        <f aca="false">G48*H48</f>
        <v>169333.129036572</v>
      </c>
      <c r="J48" s="21" t="n">
        <f aca="false">E48*INDEX(SKU_Register!$K$5:$K$22,MATCH(D48,SKU_Register!$A$5:$A$22,0))</f>
        <v>16655.81497506</v>
      </c>
      <c r="K48" s="22" t="n">
        <v>0.25</v>
      </c>
      <c r="L48" s="21" t="n">
        <f aca="false">J48*(1-K48)</f>
        <v>12491.861231295</v>
      </c>
      <c r="M48" s="21" t="n">
        <f aca="false">J48-L48</f>
        <v>4163.953743765</v>
      </c>
      <c r="N48" s="19" t="n">
        <v>16.94</v>
      </c>
      <c r="O48" s="21" t="n">
        <f aca="false">N48*H48</f>
        <v>162842.037772926</v>
      </c>
      <c r="P48" s="21" t="n">
        <f aca="false">I48+L48-O48</f>
        <v>18982.9524949413</v>
      </c>
    </row>
    <row r="49" customFormat="false" ht="15" hidden="false" customHeight="false" outlineLevel="0" collapsed="false">
      <c r="A49" s="12" t="n">
        <v>46311</v>
      </c>
      <c r="B49" s="13" t="str">
        <f aca="false">TEXT(A49,"YYYY-MM")</f>
        <v>2026-10</v>
      </c>
      <c r="C49" s="13" t="s">
        <v>172</v>
      </c>
      <c r="D49" s="17" t="s">
        <v>95</v>
      </c>
      <c r="E49" s="17" t="n">
        <v>1</v>
      </c>
      <c r="F49" s="20" t="n">
        <f aca="false">E49*INDEX(SKU_Register!$G$5:$G$22,MATCH(D49,SKU_Register!$A$5:$A$22,0))</f>
        <v>13.001</v>
      </c>
      <c r="G49" s="20" t="n">
        <f aca="false">E49*INDEX(SKU_Register!$H$5:$H$22,MATCH(D49,SKU_Register!$A$5:$A$22,0))</f>
        <v>11.908916</v>
      </c>
      <c r="H49" s="24" t="n">
        <f aca="false">Rate_Sheet!$F$18</f>
        <v>9612.8711790393</v>
      </c>
      <c r="I49" s="21" t="n">
        <f aca="false">G49*H49</f>
        <v>114478.87539</v>
      </c>
      <c r="J49" s="21" t="n">
        <f aca="false">E49*INDEX(SKU_Register!$K$5:$K$22,MATCH(D49,SKU_Register!$A$5:$A$22,0))</f>
        <v>14480.6364067106</v>
      </c>
      <c r="K49" s="22" t="n">
        <v>0.1</v>
      </c>
      <c r="L49" s="21" t="n">
        <f aca="false">J49*(1-K49)</f>
        <v>13032.5727660395</v>
      </c>
      <c r="M49" s="21" t="n">
        <f aca="false">J49-L49</f>
        <v>1448.06364067106</v>
      </c>
      <c r="N49" s="19" t="n">
        <v>0</v>
      </c>
      <c r="O49" s="21" t="n">
        <f aca="false">N49*H49</f>
        <v>0</v>
      </c>
      <c r="P49" s="21" t="n">
        <f aca="false">I49+L49-O49</f>
        <v>127511.448156039</v>
      </c>
    </row>
    <row r="50" customFormat="false" ht="15" hidden="false" customHeight="false" outlineLevel="0" collapsed="false">
      <c r="A50" s="12" t="n">
        <v>46312</v>
      </c>
      <c r="B50" s="13" t="str">
        <f aca="false">TEXT(A50,"YYYY-MM")</f>
        <v>2026-10</v>
      </c>
      <c r="C50" s="13" t="s">
        <v>173</v>
      </c>
      <c r="D50" s="17" t="s">
        <v>96</v>
      </c>
      <c r="E50" s="17" t="n">
        <v>1</v>
      </c>
      <c r="F50" s="20" t="n">
        <f aca="false">E50*INDEX(SKU_Register!$G$5:$G$22,MATCH(D50,SKU_Register!$A$5:$A$22,0))</f>
        <v>9.438</v>
      </c>
      <c r="G50" s="20" t="n">
        <f aca="false">E50*INDEX(SKU_Register!$H$5:$H$22,MATCH(D50,SKU_Register!$A$5:$A$22,0))</f>
        <v>8.645208</v>
      </c>
      <c r="H50" s="24" t="n">
        <f aca="false">Rate_Sheet!$F$19</f>
        <v>9612.8711790393</v>
      </c>
      <c r="I50" s="21" t="n">
        <f aca="false">G50*H50</f>
        <v>83105.27082</v>
      </c>
      <c r="J50" s="21" t="n">
        <f aca="false">E50*INDEX(SKU_Register!$K$5:$K$22,MATCH(D50,SKU_Register!$A$5:$A$22,0))</f>
        <v>8810.47187097792</v>
      </c>
      <c r="K50" s="22" t="n">
        <v>0</v>
      </c>
      <c r="L50" s="21" t="n">
        <f aca="false">J50*(1-K50)</f>
        <v>8810.47187097792</v>
      </c>
      <c r="M50" s="21" t="n">
        <f aca="false">J50-L50</f>
        <v>0</v>
      </c>
      <c r="N50" s="19" t="n">
        <v>0</v>
      </c>
      <c r="O50" s="21" t="n">
        <f aca="false">N50*H50</f>
        <v>0</v>
      </c>
      <c r="P50" s="21" t="n">
        <f aca="false">I50+L50-O50</f>
        <v>91915.7426909779</v>
      </c>
    </row>
    <row r="51" customFormat="false" ht="15" hidden="false" customHeight="false" outlineLevel="0" collapsed="false">
      <c r="A51" s="12" t="n">
        <v>46312</v>
      </c>
      <c r="B51" s="13" t="str">
        <f aca="false">TEXT(A51,"YYYY-MM")</f>
        <v>2026-10</v>
      </c>
      <c r="C51" s="13" t="s">
        <v>174</v>
      </c>
      <c r="D51" s="17" t="s">
        <v>89</v>
      </c>
      <c r="E51" s="17" t="n">
        <v>1</v>
      </c>
      <c r="F51" s="20" t="n">
        <f aca="false">E51*INDEX(SKU_Register!$G$5:$G$22,MATCH(D51,SKU_Register!$A$5:$A$22,0))</f>
        <v>23.487</v>
      </c>
      <c r="G51" s="20" t="n">
        <f aca="false">E51*INDEX(SKU_Register!$H$5:$H$22,MATCH(D51,SKU_Register!$A$5:$A$22,0))</f>
        <v>17.61525</v>
      </c>
      <c r="H51" s="24" t="n">
        <f aca="false">Rate_Sheet!$F$19</f>
        <v>9612.8711790393</v>
      </c>
      <c r="I51" s="21" t="n">
        <f aca="false">G51*H51</f>
        <v>169333.129036572</v>
      </c>
      <c r="J51" s="21" t="n">
        <f aca="false">E51*INDEX(SKU_Register!$K$5:$K$22,MATCH(D51,SKU_Register!$A$5:$A$22,0))</f>
        <v>16655.81497506</v>
      </c>
      <c r="K51" s="22" t="n">
        <v>0.25</v>
      </c>
      <c r="L51" s="21" t="n">
        <f aca="false">J51*(1-K51)</f>
        <v>12491.861231295</v>
      </c>
      <c r="M51" s="21" t="n">
        <f aca="false">J51-L51</f>
        <v>4163.953743765</v>
      </c>
      <c r="N51" s="19" t="n">
        <v>0</v>
      </c>
      <c r="O51" s="21" t="n">
        <f aca="false">N51*H51</f>
        <v>0</v>
      </c>
      <c r="P51" s="21" t="n">
        <f aca="false">I51+L51-O51</f>
        <v>181824.990267867</v>
      </c>
    </row>
    <row r="52" customFormat="false" ht="15" hidden="false" customHeight="false" outlineLevel="0" collapsed="false">
      <c r="A52" s="12" t="n">
        <v>46314</v>
      </c>
      <c r="B52" s="13" t="str">
        <f aca="false">TEXT(A52,"YYYY-MM")</f>
        <v>2026-10</v>
      </c>
      <c r="C52" s="13" t="s">
        <v>175</v>
      </c>
      <c r="D52" s="17" t="s">
        <v>92</v>
      </c>
      <c r="E52" s="17" t="n">
        <v>2</v>
      </c>
      <c r="F52" s="20" t="n">
        <f aca="false">E52*INDEX(SKU_Register!$G$5:$G$22,MATCH(D52,SKU_Register!$A$5:$A$22,0))</f>
        <v>30.444</v>
      </c>
      <c r="G52" s="20" t="n">
        <f aca="false">E52*INDEX(SKU_Register!$H$5:$H$22,MATCH(D52,SKU_Register!$A$5:$A$22,0))</f>
        <v>27.886704</v>
      </c>
      <c r="H52" s="24" t="n">
        <f aca="false">Rate_Sheet!$F$20</f>
        <v>9612.8711790393</v>
      </c>
      <c r="I52" s="21" t="n">
        <f aca="false">G52*H52</f>
        <v>268071.29316</v>
      </c>
      <c r="J52" s="21" t="n">
        <f aca="false">E52*INDEX(SKU_Register!$K$5:$K$22,MATCH(D52,SKU_Register!$A$5:$A$22,0))</f>
        <v>12177.6</v>
      </c>
      <c r="K52" s="22" t="n">
        <v>0.1</v>
      </c>
      <c r="L52" s="21" t="n">
        <f aca="false">J52*(1-K52)</f>
        <v>10959.84</v>
      </c>
      <c r="M52" s="21" t="n">
        <f aca="false">J52-L52</f>
        <v>1217.76</v>
      </c>
      <c r="N52" s="19" t="n">
        <v>0</v>
      </c>
      <c r="O52" s="21" t="n">
        <f aca="false">N52*H52</f>
        <v>0</v>
      </c>
      <c r="P52" s="21" t="n">
        <f aca="false">I52+L52-O52</f>
        <v>279031.13316</v>
      </c>
    </row>
    <row r="53" customFormat="false" ht="15" hidden="false" customHeight="false" outlineLevel="0" collapsed="false">
      <c r="A53" s="12" t="n">
        <v>46314</v>
      </c>
      <c r="B53" s="13" t="str">
        <f aca="false">TEXT(A53,"YYYY-MM")</f>
        <v>2026-10</v>
      </c>
      <c r="C53" s="13" t="s">
        <v>176</v>
      </c>
      <c r="D53" s="17" t="s">
        <v>96</v>
      </c>
      <c r="E53" s="17" t="n">
        <v>1</v>
      </c>
      <c r="F53" s="20" t="n">
        <f aca="false">E53*INDEX(SKU_Register!$G$5:$G$22,MATCH(D53,SKU_Register!$A$5:$A$22,0))</f>
        <v>9.438</v>
      </c>
      <c r="G53" s="20" t="n">
        <f aca="false">E53*INDEX(SKU_Register!$H$5:$H$22,MATCH(D53,SKU_Register!$A$5:$A$22,0))</f>
        <v>8.645208</v>
      </c>
      <c r="H53" s="24" t="n">
        <f aca="false">Rate_Sheet!$F$20</f>
        <v>9612.8711790393</v>
      </c>
      <c r="I53" s="21" t="n">
        <f aca="false">G53*H53</f>
        <v>83105.27082</v>
      </c>
      <c r="J53" s="21" t="n">
        <f aca="false">E53*INDEX(SKU_Register!$K$5:$K$22,MATCH(D53,SKU_Register!$A$5:$A$22,0))</f>
        <v>8810.47187097792</v>
      </c>
      <c r="K53" s="22" t="n">
        <v>0.2</v>
      </c>
      <c r="L53" s="21" t="n">
        <f aca="false">J53*(1-K53)</f>
        <v>7048.37749678234</v>
      </c>
      <c r="M53" s="21" t="n">
        <f aca="false">J53-L53</f>
        <v>1762.09437419558</v>
      </c>
      <c r="N53" s="19" t="n">
        <v>0</v>
      </c>
      <c r="O53" s="21" t="n">
        <f aca="false">N53*H53</f>
        <v>0</v>
      </c>
      <c r="P53" s="21" t="n">
        <f aca="false">I53+L53-O53</f>
        <v>90153.6483167824</v>
      </c>
    </row>
    <row r="54" customFormat="false" ht="15" hidden="false" customHeight="false" outlineLevel="0" collapsed="false">
      <c r="A54" s="12" t="n">
        <v>46315</v>
      </c>
      <c r="B54" s="13" t="str">
        <f aca="false">TEXT(A54,"YYYY-MM")</f>
        <v>2026-10</v>
      </c>
      <c r="C54" s="13" t="s">
        <v>177</v>
      </c>
      <c r="D54" s="17" t="s">
        <v>96</v>
      </c>
      <c r="E54" s="17" t="n">
        <v>2</v>
      </c>
      <c r="F54" s="20" t="n">
        <f aca="false">E54*INDEX(SKU_Register!$G$5:$G$22,MATCH(D54,SKU_Register!$A$5:$A$22,0))</f>
        <v>18.876</v>
      </c>
      <c r="G54" s="20" t="n">
        <f aca="false">E54*INDEX(SKU_Register!$H$5:$H$22,MATCH(D54,SKU_Register!$A$5:$A$22,0))</f>
        <v>17.290416</v>
      </c>
      <c r="H54" s="24" t="n">
        <f aca="false">Rate_Sheet!$F$21</f>
        <v>9706.84497816594</v>
      </c>
      <c r="I54" s="21" t="n">
        <f aca="false">G54*H54</f>
        <v>167835.38772</v>
      </c>
      <c r="J54" s="21" t="n">
        <f aca="false">E54*INDEX(SKU_Register!$K$5:$K$22,MATCH(D54,SKU_Register!$A$5:$A$22,0))</f>
        <v>17620.9437419558</v>
      </c>
      <c r="K54" s="22" t="n">
        <v>0.05</v>
      </c>
      <c r="L54" s="21" t="n">
        <f aca="false">J54*(1-K54)</f>
        <v>16739.896554858</v>
      </c>
      <c r="M54" s="21" t="n">
        <f aca="false">J54-L54</f>
        <v>881.047187097793</v>
      </c>
      <c r="N54" s="19" t="n">
        <v>0</v>
      </c>
      <c r="O54" s="21" t="n">
        <f aca="false">N54*H54</f>
        <v>0</v>
      </c>
      <c r="P54" s="21" t="n">
        <f aca="false">I54+L54-O54</f>
        <v>184575.284274858</v>
      </c>
    </row>
    <row r="55" customFormat="false" ht="15" hidden="false" customHeight="false" outlineLevel="0" collapsed="false">
      <c r="A55" s="12" t="n">
        <v>46315</v>
      </c>
      <c r="B55" s="13" t="str">
        <f aca="false">TEXT(A55,"YYYY-MM")</f>
        <v>2026-10</v>
      </c>
      <c r="C55" s="13" t="s">
        <v>178</v>
      </c>
      <c r="D55" s="17" t="s">
        <v>89</v>
      </c>
      <c r="E55" s="17" t="n">
        <v>1</v>
      </c>
      <c r="F55" s="20" t="n">
        <f aca="false">E55*INDEX(SKU_Register!$G$5:$G$22,MATCH(D55,SKU_Register!$A$5:$A$22,0))</f>
        <v>23.487</v>
      </c>
      <c r="G55" s="20" t="n">
        <f aca="false">E55*INDEX(SKU_Register!$H$5:$H$22,MATCH(D55,SKU_Register!$A$5:$A$22,0))</f>
        <v>17.61525</v>
      </c>
      <c r="H55" s="24" t="n">
        <f aca="false">Rate_Sheet!$F$21</f>
        <v>9706.84497816594</v>
      </c>
      <c r="I55" s="21" t="n">
        <f aca="false">G55*H55</f>
        <v>170988.501001638</v>
      </c>
      <c r="J55" s="21" t="n">
        <f aca="false">E55*INDEX(SKU_Register!$K$5:$K$22,MATCH(D55,SKU_Register!$A$5:$A$22,0))</f>
        <v>16655.81497506</v>
      </c>
      <c r="K55" s="22" t="n">
        <v>0.1</v>
      </c>
      <c r="L55" s="21" t="n">
        <f aca="false">J55*(1-K55)</f>
        <v>14990.233477554</v>
      </c>
      <c r="M55" s="21" t="n">
        <f aca="false">J55-L55</f>
        <v>1665.581497506</v>
      </c>
      <c r="N55" s="19" t="n">
        <v>15.733</v>
      </c>
      <c r="O55" s="21" t="n">
        <f aca="false">N55*H55</f>
        <v>152717.792041485</v>
      </c>
      <c r="P55" s="21" t="n">
        <f aca="false">I55+L55-O55</f>
        <v>33260.9424377068</v>
      </c>
    </row>
    <row r="56" customFormat="false" ht="15" hidden="false" customHeight="false" outlineLevel="0" collapsed="false">
      <c r="A56" s="12" t="n">
        <v>46315</v>
      </c>
      <c r="B56" s="13" t="str">
        <f aca="false">TEXT(A56,"YYYY-MM")</f>
        <v>2026-10</v>
      </c>
      <c r="C56" s="13" t="s">
        <v>179</v>
      </c>
      <c r="D56" s="17" t="s">
        <v>80</v>
      </c>
      <c r="E56" s="17" t="n">
        <v>1</v>
      </c>
      <c r="F56" s="20" t="n">
        <f aca="false">E56*INDEX(SKU_Register!$G$5:$G$22,MATCH(D56,SKU_Register!$A$5:$A$22,0))</f>
        <v>32.971</v>
      </c>
      <c r="G56" s="20" t="n">
        <f aca="false">E56*INDEX(SKU_Register!$H$5:$H$22,MATCH(D56,SKU_Register!$A$5:$A$22,0))</f>
        <v>30.201436</v>
      </c>
      <c r="H56" s="24" t="n">
        <f aca="false">Rate_Sheet!$F$21</f>
        <v>9706.84497816594</v>
      </c>
      <c r="I56" s="21" t="n">
        <f aca="false">G56*H56</f>
        <v>293160.65737</v>
      </c>
      <c r="J56" s="21" t="n">
        <f aca="false">E56*INDEX(SKU_Register!$K$5:$K$22,MATCH(D56,SKU_Register!$A$5:$A$22,0))</f>
        <v>32445.4945071654</v>
      </c>
      <c r="K56" s="22" t="n">
        <v>0</v>
      </c>
      <c r="L56" s="21" t="n">
        <f aca="false">J56*(1-K56)</f>
        <v>32445.4945071654</v>
      </c>
      <c r="M56" s="21" t="n">
        <f aca="false">J56-L56</f>
        <v>0</v>
      </c>
      <c r="N56" s="19" t="n">
        <v>2.93</v>
      </c>
      <c r="O56" s="21" t="n">
        <f aca="false">N56*H56</f>
        <v>28441.0557860262</v>
      </c>
      <c r="P56" s="21" t="n">
        <f aca="false">I56+L56-O56</f>
        <v>297165.096091139</v>
      </c>
    </row>
    <row r="57" customFormat="false" ht="15" hidden="false" customHeight="false" outlineLevel="0" collapsed="false">
      <c r="A57" s="12" t="n">
        <v>46316</v>
      </c>
      <c r="B57" s="13" t="str">
        <f aca="false">TEXT(A57,"YYYY-MM")</f>
        <v>2026-10</v>
      </c>
      <c r="C57" s="13" t="s">
        <v>180</v>
      </c>
      <c r="D57" s="17" t="s">
        <v>80</v>
      </c>
      <c r="E57" s="17" t="n">
        <v>1</v>
      </c>
      <c r="F57" s="20" t="n">
        <f aca="false">E57*INDEX(SKU_Register!$G$5:$G$22,MATCH(D57,SKU_Register!$A$5:$A$22,0))</f>
        <v>32.971</v>
      </c>
      <c r="G57" s="20" t="n">
        <f aca="false">E57*INDEX(SKU_Register!$H$5:$H$22,MATCH(D57,SKU_Register!$A$5:$A$22,0))</f>
        <v>30.201436</v>
      </c>
      <c r="H57" s="24" t="n">
        <f aca="false">Rate_Sheet!$F$22</f>
        <v>9706.84497816594</v>
      </c>
      <c r="I57" s="21" t="n">
        <f aca="false">G57*H57</f>
        <v>293160.65737</v>
      </c>
      <c r="J57" s="21" t="n">
        <f aca="false">E57*INDEX(SKU_Register!$K$5:$K$22,MATCH(D57,SKU_Register!$A$5:$A$22,0))</f>
        <v>32445.4945071654</v>
      </c>
      <c r="K57" s="22" t="n">
        <v>0.2</v>
      </c>
      <c r="L57" s="21" t="n">
        <f aca="false">J57*(1-K57)</f>
        <v>25956.3956057324</v>
      </c>
      <c r="M57" s="21" t="n">
        <f aca="false">J57-L57</f>
        <v>6489.09890143308</v>
      </c>
      <c r="N57" s="19" t="n">
        <v>0</v>
      </c>
      <c r="O57" s="21" t="n">
        <f aca="false">N57*H57</f>
        <v>0</v>
      </c>
      <c r="P57" s="21" t="n">
        <f aca="false">I57+L57-O57</f>
        <v>319117.052975732</v>
      </c>
    </row>
    <row r="58" customFormat="false" ht="15" hidden="false" customHeight="false" outlineLevel="0" collapsed="false">
      <c r="A58" s="12" t="n">
        <v>46316</v>
      </c>
      <c r="B58" s="13" t="str">
        <f aca="false">TEXT(A58,"YYYY-MM")</f>
        <v>2026-10</v>
      </c>
      <c r="C58" s="13" t="s">
        <v>181</v>
      </c>
      <c r="D58" s="17" t="s">
        <v>93</v>
      </c>
      <c r="E58" s="17" t="n">
        <v>1</v>
      </c>
      <c r="F58" s="20" t="n">
        <f aca="false">E58*INDEX(SKU_Register!$G$5:$G$22,MATCH(D58,SKU_Register!$A$5:$A$22,0))</f>
        <v>11.829</v>
      </c>
      <c r="G58" s="20" t="n">
        <f aca="false">E58*INDEX(SKU_Register!$H$5:$H$22,MATCH(D58,SKU_Register!$A$5:$A$22,0))</f>
        <v>10.835364</v>
      </c>
      <c r="H58" s="24" t="n">
        <f aca="false">Rate_Sheet!$F$22</f>
        <v>9706.84497816594</v>
      </c>
      <c r="I58" s="21" t="n">
        <f aca="false">G58*H58</f>
        <v>105177.19863</v>
      </c>
      <c r="J58" s="21" t="n">
        <f aca="false">E58*INDEX(SKU_Register!$K$5:$K$22,MATCH(D58,SKU_Register!$A$5:$A$22,0))</f>
        <v>6162.909</v>
      </c>
      <c r="K58" s="22" t="n">
        <v>0.15</v>
      </c>
      <c r="L58" s="21" t="n">
        <f aca="false">J58*(1-K58)</f>
        <v>5238.47265</v>
      </c>
      <c r="M58" s="21" t="n">
        <f aca="false">J58-L58</f>
        <v>924.43635</v>
      </c>
      <c r="N58" s="19" t="n">
        <v>0</v>
      </c>
      <c r="O58" s="21" t="n">
        <f aca="false">N58*H58</f>
        <v>0</v>
      </c>
      <c r="P58" s="21" t="n">
        <f aca="false">I58+L58-O58</f>
        <v>110415.67128</v>
      </c>
    </row>
    <row r="59" customFormat="false" ht="15" hidden="false" customHeight="false" outlineLevel="0" collapsed="false">
      <c r="A59" s="12" t="n">
        <v>46316</v>
      </c>
      <c r="B59" s="13" t="str">
        <f aca="false">TEXT(A59,"YYYY-MM")</f>
        <v>2026-10</v>
      </c>
      <c r="C59" s="13" t="s">
        <v>182</v>
      </c>
      <c r="D59" s="17" t="s">
        <v>96</v>
      </c>
      <c r="E59" s="17" t="n">
        <v>1</v>
      </c>
      <c r="F59" s="20" t="n">
        <f aca="false">E59*INDEX(SKU_Register!$G$5:$G$22,MATCH(D59,SKU_Register!$A$5:$A$22,0))</f>
        <v>9.438</v>
      </c>
      <c r="G59" s="20" t="n">
        <f aca="false">E59*INDEX(SKU_Register!$H$5:$H$22,MATCH(D59,SKU_Register!$A$5:$A$22,0))</f>
        <v>8.645208</v>
      </c>
      <c r="H59" s="24" t="n">
        <f aca="false">Rate_Sheet!$F$22</f>
        <v>9706.84497816594</v>
      </c>
      <c r="I59" s="21" t="n">
        <f aca="false">G59*H59</f>
        <v>83917.69386</v>
      </c>
      <c r="J59" s="21" t="n">
        <f aca="false">E59*INDEX(SKU_Register!$K$5:$K$22,MATCH(D59,SKU_Register!$A$5:$A$22,0))</f>
        <v>8810.47187097792</v>
      </c>
      <c r="K59" s="22" t="n">
        <v>0.25</v>
      </c>
      <c r="L59" s="21" t="n">
        <f aca="false">J59*(1-K59)</f>
        <v>6607.85390323344</v>
      </c>
      <c r="M59" s="21" t="n">
        <f aca="false">J59-L59</f>
        <v>2202.61796774448</v>
      </c>
      <c r="N59" s="19" t="n">
        <v>0</v>
      </c>
      <c r="O59" s="21" t="n">
        <f aca="false">N59*H59</f>
        <v>0</v>
      </c>
      <c r="P59" s="21" t="n">
        <f aca="false">I59+L59-O59</f>
        <v>90525.5477632334</v>
      </c>
    </row>
    <row r="60" customFormat="false" ht="15" hidden="false" customHeight="false" outlineLevel="0" collapsed="false">
      <c r="A60" s="12" t="n">
        <v>46316</v>
      </c>
      <c r="B60" s="13" t="str">
        <f aca="false">TEXT(A60,"YYYY-MM")</f>
        <v>2026-10</v>
      </c>
      <c r="C60" s="13" t="s">
        <v>183</v>
      </c>
      <c r="D60" s="17" t="s">
        <v>75</v>
      </c>
      <c r="E60" s="17" t="n">
        <v>2</v>
      </c>
      <c r="F60" s="20" t="n">
        <f aca="false">E60*INDEX(SKU_Register!$G$5:$G$22,MATCH(D60,SKU_Register!$A$5:$A$22,0))</f>
        <v>55.126</v>
      </c>
      <c r="G60" s="20" t="n">
        <f aca="false">E60*INDEX(SKU_Register!$H$5:$H$22,MATCH(D60,SKU_Register!$A$5:$A$22,0))</f>
        <v>50.495416</v>
      </c>
      <c r="H60" s="24" t="n">
        <f aca="false">Rate_Sheet!$F$22</f>
        <v>9706.84497816594</v>
      </c>
      <c r="I60" s="21" t="n">
        <f aca="false">G60*H60</f>
        <v>490151.17522</v>
      </c>
      <c r="J60" s="21" t="n">
        <f aca="false">E60*INDEX(SKU_Register!$K$5:$K$22,MATCH(D60,SKU_Register!$A$5:$A$22,0))</f>
        <v>33847.364</v>
      </c>
      <c r="K60" s="22" t="n">
        <v>0.1</v>
      </c>
      <c r="L60" s="21" t="n">
        <f aca="false">J60*(1-K60)</f>
        <v>30462.6276</v>
      </c>
      <c r="M60" s="21" t="n">
        <f aca="false">J60-L60</f>
        <v>3384.7364</v>
      </c>
      <c r="N60" s="19" t="n">
        <v>4.75</v>
      </c>
      <c r="O60" s="21" t="n">
        <f aca="false">N60*H60</f>
        <v>46107.5136462882</v>
      </c>
      <c r="P60" s="21" t="n">
        <f aca="false">I60+L60-O60</f>
        <v>474506.289173712</v>
      </c>
    </row>
    <row r="61" customFormat="false" ht="15" hidden="false" customHeight="false" outlineLevel="0" collapsed="false">
      <c r="A61" s="12" t="n">
        <v>46317</v>
      </c>
      <c r="B61" s="13" t="str">
        <f aca="false">TEXT(A61,"YYYY-MM")</f>
        <v>2026-10</v>
      </c>
      <c r="C61" s="13" t="s">
        <v>184</v>
      </c>
      <c r="D61" s="17" t="s">
        <v>92</v>
      </c>
      <c r="E61" s="17" t="n">
        <v>1</v>
      </c>
      <c r="F61" s="20" t="n">
        <f aca="false">E61*INDEX(SKU_Register!$G$5:$G$22,MATCH(D61,SKU_Register!$A$5:$A$22,0))</f>
        <v>15.222</v>
      </c>
      <c r="G61" s="20" t="n">
        <f aca="false">E61*INDEX(SKU_Register!$H$5:$H$22,MATCH(D61,SKU_Register!$A$5:$A$22,0))</f>
        <v>13.943352</v>
      </c>
      <c r="H61" s="24" t="n">
        <f aca="false">Rate_Sheet!$F$23</f>
        <v>9706.84497816594</v>
      </c>
      <c r="I61" s="21" t="n">
        <f aca="false">G61*H61</f>
        <v>135345.95634</v>
      </c>
      <c r="J61" s="21" t="n">
        <f aca="false">E61*INDEX(SKU_Register!$K$5:$K$22,MATCH(D61,SKU_Register!$A$5:$A$22,0))</f>
        <v>6088.8</v>
      </c>
      <c r="K61" s="22" t="n">
        <v>0.2</v>
      </c>
      <c r="L61" s="21" t="n">
        <f aca="false">J61*(1-K61)</f>
        <v>4871.04</v>
      </c>
      <c r="M61" s="21" t="n">
        <f aca="false">J61-L61</f>
        <v>1217.76</v>
      </c>
      <c r="N61" s="19" t="n">
        <v>0</v>
      </c>
      <c r="O61" s="21" t="n">
        <f aca="false">N61*H61</f>
        <v>0</v>
      </c>
      <c r="P61" s="21" t="n">
        <f aca="false">I61+L61-O61</f>
        <v>140216.99634</v>
      </c>
    </row>
    <row r="62" customFormat="false" ht="15" hidden="false" customHeight="false" outlineLevel="0" collapsed="false">
      <c r="A62" s="12" t="n">
        <v>46317</v>
      </c>
      <c r="B62" s="13" t="str">
        <f aca="false">TEXT(A62,"YYYY-MM")</f>
        <v>2026-10</v>
      </c>
      <c r="C62" s="13" t="s">
        <v>185</v>
      </c>
      <c r="D62" s="17" t="s">
        <v>94</v>
      </c>
      <c r="E62" s="17" t="n">
        <v>2</v>
      </c>
      <c r="F62" s="20" t="n">
        <f aca="false">E62*INDEX(SKU_Register!$G$5:$G$22,MATCH(D62,SKU_Register!$A$5:$A$22,0))</f>
        <v>25.12</v>
      </c>
      <c r="G62" s="20" t="n">
        <f aca="false">E62*INDEX(SKU_Register!$H$5:$H$22,MATCH(D62,SKU_Register!$A$5:$A$22,0))</f>
        <v>18.84</v>
      </c>
      <c r="H62" s="24" t="n">
        <f aca="false">Rate_Sheet!$F$23</f>
        <v>9706.84497816594</v>
      </c>
      <c r="I62" s="21" t="n">
        <f aca="false">G62*H62</f>
        <v>182876.959388646</v>
      </c>
      <c r="J62" s="21" t="n">
        <f aca="false">E62*INDEX(SKU_Register!$K$5:$K$22,MATCH(D62,SKU_Register!$A$5:$A$22,0))</f>
        <v>19321.450548</v>
      </c>
      <c r="K62" s="22" t="n">
        <v>0.05</v>
      </c>
      <c r="L62" s="21" t="n">
        <f aca="false">J62*(1-K62)</f>
        <v>18355.3780206</v>
      </c>
      <c r="M62" s="21" t="n">
        <f aca="false">J62-L62</f>
        <v>966.0725274</v>
      </c>
      <c r="N62" s="19" t="n">
        <v>0</v>
      </c>
      <c r="O62" s="21" t="n">
        <f aca="false">N62*H62</f>
        <v>0</v>
      </c>
      <c r="P62" s="21" t="n">
        <f aca="false">I62+L62-O62</f>
        <v>201232.337409246</v>
      </c>
    </row>
    <row r="63" customFormat="false" ht="15" hidden="false" customHeight="false" outlineLevel="0" collapsed="false">
      <c r="A63" s="12" t="n">
        <v>46317</v>
      </c>
      <c r="B63" s="13" t="str">
        <f aca="false">TEXT(A63,"YYYY-MM")</f>
        <v>2026-10</v>
      </c>
      <c r="C63" s="13" t="s">
        <v>186</v>
      </c>
      <c r="D63" s="17" t="s">
        <v>96</v>
      </c>
      <c r="E63" s="17" t="n">
        <v>1</v>
      </c>
      <c r="F63" s="20" t="n">
        <f aca="false">E63*INDEX(SKU_Register!$G$5:$G$22,MATCH(D63,SKU_Register!$A$5:$A$22,0))</f>
        <v>9.438</v>
      </c>
      <c r="G63" s="20" t="n">
        <f aca="false">E63*INDEX(SKU_Register!$H$5:$H$22,MATCH(D63,SKU_Register!$A$5:$A$22,0))</f>
        <v>8.645208</v>
      </c>
      <c r="H63" s="24" t="n">
        <f aca="false">Rate_Sheet!$F$23</f>
        <v>9706.84497816594</v>
      </c>
      <c r="I63" s="21" t="n">
        <f aca="false">G63*H63</f>
        <v>83917.69386</v>
      </c>
      <c r="J63" s="21" t="n">
        <f aca="false">E63*INDEX(SKU_Register!$K$5:$K$22,MATCH(D63,SKU_Register!$A$5:$A$22,0))</f>
        <v>8810.47187097792</v>
      </c>
      <c r="K63" s="22" t="n">
        <v>0</v>
      </c>
      <c r="L63" s="21" t="n">
        <f aca="false">J63*(1-K63)</f>
        <v>8810.47187097792</v>
      </c>
      <c r="M63" s="21" t="n">
        <f aca="false">J63-L63</f>
        <v>0</v>
      </c>
      <c r="N63" s="19" t="n">
        <v>0</v>
      </c>
      <c r="O63" s="21" t="n">
        <f aca="false">N63*H63</f>
        <v>0</v>
      </c>
      <c r="P63" s="21" t="n">
        <f aca="false">I63+L63-O63</f>
        <v>92728.1657309779</v>
      </c>
    </row>
    <row r="64" customFormat="false" ht="15" hidden="false" customHeight="false" outlineLevel="0" collapsed="false">
      <c r="A64" s="12" t="n">
        <v>46318</v>
      </c>
      <c r="B64" s="13" t="str">
        <f aca="false">TEXT(A64,"YYYY-MM")</f>
        <v>2026-10</v>
      </c>
      <c r="C64" s="13" t="s">
        <v>187</v>
      </c>
      <c r="D64" s="17" t="s">
        <v>92</v>
      </c>
      <c r="E64" s="17" t="n">
        <v>1</v>
      </c>
      <c r="F64" s="20" t="n">
        <f aca="false">E64*INDEX(SKU_Register!$G$5:$G$22,MATCH(D64,SKU_Register!$A$5:$A$22,0))</f>
        <v>15.222</v>
      </c>
      <c r="G64" s="20" t="n">
        <f aca="false">E64*INDEX(SKU_Register!$H$5:$H$22,MATCH(D64,SKU_Register!$A$5:$A$22,0))</f>
        <v>13.943352</v>
      </c>
      <c r="H64" s="24" t="n">
        <f aca="false">Rate_Sheet!$F$24</f>
        <v>9706.84497816594</v>
      </c>
      <c r="I64" s="21" t="n">
        <f aca="false">G64*H64</f>
        <v>135345.95634</v>
      </c>
      <c r="J64" s="21" t="n">
        <f aca="false">E64*INDEX(SKU_Register!$K$5:$K$22,MATCH(D64,SKU_Register!$A$5:$A$22,0))</f>
        <v>6088.8</v>
      </c>
      <c r="K64" s="22" t="n">
        <v>0.1</v>
      </c>
      <c r="L64" s="21" t="n">
        <f aca="false">J64*(1-K64)</f>
        <v>5479.92</v>
      </c>
      <c r="M64" s="21" t="n">
        <f aca="false">J64-L64</f>
        <v>608.88</v>
      </c>
      <c r="N64" s="19" t="n">
        <v>8.421</v>
      </c>
      <c r="O64" s="21" t="n">
        <f aca="false">N64*H64</f>
        <v>81741.3415611354</v>
      </c>
      <c r="P64" s="21" t="n">
        <f aca="false">I64+L64-O64</f>
        <v>59084.5347788647</v>
      </c>
    </row>
    <row r="65" customFormat="false" ht="15" hidden="false" customHeight="false" outlineLevel="0" collapsed="false">
      <c r="A65" s="12" t="n">
        <v>46318</v>
      </c>
      <c r="B65" s="13" t="str">
        <f aca="false">TEXT(A65,"YYYY-MM")</f>
        <v>2026-10</v>
      </c>
      <c r="C65" s="13" t="s">
        <v>188</v>
      </c>
      <c r="D65" s="17" t="s">
        <v>89</v>
      </c>
      <c r="E65" s="17" t="n">
        <v>1</v>
      </c>
      <c r="F65" s="20" t="n">
        <f aca="false">E65*INDEX(SKU_Register!$G$5:$G$22,MATCH(D65,SKU_Register!$A$5:$A$22,0))</f>
        <v>23.487</v>
      </c>
      <c r="G65" s="20" t="n">
        <f aca="false">E65*INDEX(SKU_Register!$H$5:$H$22,MATCH(D65,SKU_Register!$A$5:$A$22,0))</f>
        <v>17.61525</v>
      </c>
      <c r="H65" s="24" t="n">
        <f aca="false">Rate_Sheet!$F$24</f>
        <v>9706.84497816594</v>
      </c>
      <c r="I65" s="21" t="n">
        <f aca="false">G65*H65</f>
        <v>170988.501001638</v>
      </c>
      <c r="J65" s="21" t="n">
        <f aca="false">E65*INDEX(SKU_Register!$K$5:$K$22,MATCH(D65,SKU_Register!$A$5:$A$22,0))</f>
        <v>16655.81497506</v>
      </c>
      <c r="K65" s="22" t="n">
        <v>0</v>
      </c>
      <c r="L65" s="21" t="n">
        <f aca="false">J65*(1-K65)</f>
        <v>16655.81497506</v>
      </c>
      <c r="M65" s="21" t="n">
        <f aca="false">J65-L65</f>
        <v>0</v>
      </c>
      <c r="N65" s="19" t="n">
        <v>2.365</v>
      </c>
      <c r="O65" s="21" t="n">
        <f aca="false">N65*H65</f>
        <v>22956.6883733624</v>
      </c>
      <c r="P65" s="21" t="n">
        <f aca="false">I65+L65-O65</f>
        <v>164687.627603335</v>
      </c>
    </row>
    <row r="66" customFormat="false" ht="15" hidden="false" customHeight="false" outlineLevel="0" collapsed="false">
      <c r="A66" s="12" t="n">
        <v>46318</v>
      </c>
      <c r="B66" s="13" t="str">
        <f aca="false">TEXT(A66,"YYYY-MM")</f>
        <v>2026-10</v>
      </c>
      <c r="C66" s="13" t="s">
        <v>189</v>
      </c>
      <c r="D66" s="17" t="s">
        <v>98</v>
      </c>
      <c r="E66" s="17" t="n">
        <v>1</v>
      </c>
      <c r="F66" s="20" t="n">
        <f aca="false">E66*INDEX(SKU_Register!$G$5:$G$22,MATCH(D66,SKU_Register!$A$5:$A$22,0))</f>
        <v>40.02</v>
      </c>
      <c r="G66" s="20" t="n">
        <f aca="false">E66*INDEX(SKU_Register!$H$5:$H$22,MATCH(D66,SKU_Register!$A$5:$A$22,0))</f>
        <v>36.65832</v>
      </c>
      <c r="H66" s="24" t="n">
        <f aca="false">Rate_Sheet!$F$24</f>
        <v>9706.84497816594</v>
      </c>
      <c r="I66" s="21" t="n">
        <f aca="false">G66*H66</f>
        <v>355836.6294</v>
      </c>
      <c r="J66" s="21" t="n">
        <f aca="false">E66*INDEX(SKU_Register!$K$5:$K$22,MATCH(D66,SKU_Register!$A$5:$A$22,0))</f>
        <v>23451.72</v>
      </c>
      <c r="K66" s="22" t="n">
        <v>0.15</v>
      </c>
      <c r="L66" s="21" t="n">
        <f aca="false">J66*(1-K66)</f>
        <v>19933.962</v>
      </c>
      <c r="M66" s="21" t="n">
        <f aca="false">J66-L66</f>
        <v>3517.758</v>
      </c>
      <c r="N66" s="19" t="n">
        <v>0</v>
      </c>
      <c r="O66" s="21" t="n">
        <f aca="false">N66*H66</f>
        <v>0</v>
      </c>
      <c r="P66" s="21" t="n">
        <f aca="false">I66+L66-O66</f>
        <v>375770.5914</v>
      </c>
    </row>
    <row r="67" customFormat="false" ht="15" hidden="false" customHeight="false" outlineLevel="0" collapsed="false">
      <c r="A67" s="12" t="n">
        <v>46319</v>
      </c>
      <c r="B67" s="13" t="str">
        <f aca="false">TEXT(A67,"YYYY-MM")</f>
        <v>2026-10</v>
      </c>
      <c r="C67" s="13" t="s">
        <v>190</v>
      </c>
      <c r="D67" s="17" t="s">
        <v>78</v>
      </c>
      <c r="E67" s="17" t="n">
        <v>1</v>
      </c>
      <c r="F67" s="20" t="n">
        <f aca="false">E67*INDEX(SKU_Register!$G$5:$G$22,MATCH(D67,SKU_Register!$A$5:$A$22,0))</f>
        <v>26.934</v>
      </c>
      <c r="G67" s="20" t="n">
        <f aca="false">E67*INDEX(SKU_Register!$H$5:$H$22,MATCH(D67,SKU_Register!$A$5:$A$22,0))</f>
        <v>24.671544</v>
      </c>
      <c r="H67" s="24" t="n">
        <f aca="false">Rate_Sheet!$F$25</f>
        <v>9676.97598253275</v>
      </c>
      <c r="I67" s="21" t="n">
        <f aca="false">G67*H67</f>
        <v>238745.93874</v>
      </c>
      <c r="J67" s="21" t="n">
        <f aca="false">E67*INDEX(SKU_Register!$K$5:$K$22,MATCH(D67,SKU_Register!$A$5:$A$22,0))</f>
        <v>10504.26</v>
      </c>
      <c r="K67" s="22" t="n">
        <v>0.2</v>
      </c>
      <c r="L67" s="21" t="n">
        <f aca="false">J67*(1-K67)</f>
        <v>8403.408</v>
      </c>
      <c r="M67" s="21" t="n">
        <f aca="false">J67-L67</f>
        <v>2100.852</v>
      </c>
      <c r="N67" s="19" t="n">
        <v>0</v>
      </c>
      <c r="O67" s="21" t="n">
        <f aca="false">N67*H67</f>
        <v>0</v>
      </c>
      <c r="P67" s="21" t="n">
        <f aca="false">I67+L67-O67</f>
        <v>247149.34674</v>
      </c>
    </row>
    <row r="68" customFormat="false" ht="15" hidden="false" customHeight="false" outlineLevel="0" collapsed="false">
      <c r="A68" s="12" t="n">
        <v>46319</v>
      </c>
      <c r="B68" s="13" t="str">
        <f aca="false">TEXT(A68,"YYYY-MM")</f>
        <v>2026-10</v>
      </c>
      <c r="C68" s="13" t="s">
        <v>191</v>
      </c>
      <c r="D68" s="17" t="s">
        <v>90</v>
      </c>
      <c r="E68" s="17" t="n">
        <v>1</v>
      </c>
      <c r="F68" s="20" t="n">
        <f aca="false">E68*INDEX(SKU_Register!$G$5:$G$22,MATCH(D68,SKU_Register!$A$5:$A$22,0))</f>
        <v>28.689</v>
      </c>
      <c r="G68" s="20" t="n">
        <f aca="false">E68*INDEX(SKU_Register!$H$5:$H$22,MATCH(D68,SKU_Register!$A$5:$A$22,0))</f>
        <v>26.279124</v>
      </c>
      <c r="H68" s="24" t="n">
        <f aca="false">Rate_Sheet!$F$25</f>
        <v>9676.97598253275</v>
      </c>
      <c r="I68" s="21" t="n">
        <f aca="false">G68*H68</f>
        <v>254302.45179</v>
      </c>
      <c r="J68" s="21" t="n">
        <f aca="false">E68*INDEX(SKU_Register!$K$5:$K$22,MATCH(D68,SKU_Register!$A$5:$A$22,0))</f>
        <v>29730.3455874456</v>
      </c>
      <c r="K68" s="22" t="n">
        <v>0.3</v>
      </c>
      <c r="L68" s="21" t="n">
        <f aca="false">J68*(1-K68)</f>
        <v>20811.2419112119</v>
      </c>
      <c r="M68" s="21" t="n">
        <f aca="false">J68-L68</f>
        <v>8919.10367623368</v>
      </c>
      <c r="N68" s="19" t="n">
        <v>13.473</v>
      </c>
      <c r="O68" s="21" t="n">
        <f aca="false">N68*H68</f>
        <v>130377.897412664</v>
      </c>
      <c r="P68" s="21" t="n">
        <f aca="false">I68+L68-O68</f>
        <v>144735.796288548</v>
      </c>
    </row>
    <row r="69" customFormat="false" ht="15" hidden="false" customHeight="false" outlineLevel="0" collapsed="false">
      <c r="A69" s="12" t="n">
        <v>46319</v>
      </c>
      <c r="B69" s="13" t="str">
        <f aca="false">TEXT(A69,"YYYY-MM")</f>
        <v>2026-10</v>
      </c>
      <c r="C69" s="13" t="s">
        <v>192</v>
      </c>
      <c r="D69" s="17" t="s">
        <v>85</v>
      </c>
      <c r="E69" s="17" t="n">
        <v>1</v>
      </c>
      <c r="F69" s="20" t="n">
        <f aca="false">E69*INDEX(SKU_Register!$G$5:$G$22,MATCH(D69,SKU_Register!$A$5:$A$22,0))</f>
        <v>30.575</v>
      </c>
      <c r="G69" s="20" t="n">
        <f aca="false">E69*INDEX(SKU_Register!$H$5:$H$22,MATCH(D69,SKU_Register!$A$5:$A$22,0))</f>
        <v>28.0067</v>
      </c>
      <c r="H69" s="24" t="n">
        <f aca="false">Rate_Sheet!$F$25</f>
        <v>9676.97598253275</v>
      </c>
      <c r="I69" s="21" t="n">
        <f aca="false">G69*H69</f>
        <v>271020.16325</v>
      </c>
      <c r="J69" s="21" t="n">
        <f aca="false">E69*INDEX(SKU_Register!$K$5:$K$22,MATCH(D69,SKU_Register!$A$5:$A$22,0))</f>
        <v>27511.682697768</v>
      </c>
      <c r="K69" s="22" t="n">
        <v>0.3</v>
      </c>
      <c r="L69" s="21" t="n">
        <f aca="false">J69*(1-K69)</f>
        <v>19258.1778884376</v>
      </c>
      <c r="M69" s="21" t="n">
        <f aca="false">J69-L69</f>
        <v>8253.5048093304</v>
      </c>
      <c r="N69" s="19" t="n">
        <v>0</v>
      </c>
      <c r="O69" s="21" t="n">
        <f aca="false">N69*H69</f>
        <v>0</v>
      </c>
      <c r="P69" s="21" t="n">
        <f aca="false">I69+L69-O69</f>
        <v>290278.341138438</v>
      </c>
    </row>
    <row r="70" customFormat="false" ht="15" hidden="false" customHeight="false" outlineLevel="0" collapsed="false">
      <c r="A70" s="12" t="n">
        <v>46321</v>
      </c>
      <c r="B70" s="13" t="str">
        <f aca="false">TEXT(A70,"YYYY-MM")</f>
        <v>2026-10</v>
      </c>
      <c r="C70" s="13" t="s">
        <v>193</v>
      </c>
      <c r="D70" s="17" t="s">
        <v>98</v>
      </c>
      <c r="E70" s="17" t="n">
        <v>1</v>
      </c>
      <c r="F70" s="20" t="n">
        <f aca="false">E70*INDEX(SKU_Register!$G$5:$G$22,MATCH(D70,SKU_Register!$A$5:$A$22,0))</f>
        <v>40.02</v>
      </c>
      <c r="G70" s="20" t="n">
        <f aca="false">E70*INDEX(SKU_Register!$H$5:$H$22,MATCH(D70,SKU_Register!$A$5:$A$22,0))</f>
        <v>36.65832</v>
      </c>
      <c r="H70" s="24" t="n">
        <f aca="false">Rate_Sheet!$F$26</f>
        <v>9676.97598253275</v>
      </c>
      <c r="I70" s="21" t="n">
        <f aca="false">G70*H70</f>
        <v>354741.6822</v>
      </c>
      <c r="J70" s="21" t="n">
        <f aca="false">E70*INDEX(SKU_Register!$K$5:$K$22,MATCH(D70,SKU_Register!$A$5:$A$22,0))</f>
        <v>23451.72</v>
      </c>
      <c r="K70" s="22" t="n">
        <v>0.1</v>
      </c>
      <c r="L70" s="21" t="n">
        <f aca="false">J70*(1-K70)</f>
        <v>21106.548</v>
      </c>
      <c r="M70" s="21" t="n">
        <f aca="false">J70-L70</f>
        <v>2345.172</v>
      </c>
      <c r="N70" s="19" t="n">
        <v>0</v>
      </c>
      <c r="O70" s="21" t="n">
        <f aca="false">N70*H70</f>
        <v>0</v>
      </c>
      <c r="P70" s="21" t="n">
        <f aca="false">I70+L70-O70</f>
        <v>375848.2302</v>
      </c>
    </row>
    <row r="71" customFormat="false" ht="15" hidden="false" customHeight="false" outlineLevel="0" collapsed="false">
      <c r="A71" s="12" t="n">
        <v>46321</v>
      </c>
      <c r="B71" s="13" t="str">
        <f aca="false">TEXT(A71,"YYYY-MM")</f>
        <v>2026-10</v>
      </c>
      <c r="C71" s="13" t="s">
        <v>194</v>
      </c>
      <c r="D71" s="17" t="s">
        <v>87</v>
      </c>
      <c r="E71" s="17" t="n">
        <v>2</v>
      </c>
      <c r="F71" s="20" t="n">
        <f aca="false">E71*INDEX(SKU_Register!$G$5:$G$22,MATCH(D71,SKU_Register!$A$5:$A$22,0))</f>
        <v>53.218</v>
      </c>
      <c r="G71" s="20" t="n">
        <f aca="false">E71*INDEX(SKU_Register!$H$5:$H$22,MATCH(D71,SKU_Register!$A$5:$A$22,0))</f>
        <v>48.747688</v>
      </c>
      <c r="H71" s="24" t="n">
        <f aca="false">Rate_Sheet!$F$26</f>
        <v>9676.97598253275</v>
      </c>
      <c r="I71" s="21" t="n">
        <f aca="false">G71*H71</f>
        <v>471730.20598</v>
      </c>
      <c r="J71" s="21" t="n">
        <f aca="false">E71*INDEX(SKU_Register!$K$5:$K$22,MATCH(D71,SKU_Register!$A$5:$A$22,0))</f>
        <v>24107.754</v>
      </c>
      <c r="K71" s="22" t="n">
        <v>0.1</v>
      </c>
      <c r="L71" s="21" t="n">
        <f aca="false">J71*(1-K71)</f>
        <v>21696.9786</v>
      </c>
      <c r="M71" s="21" t="n">
        <f aca="false">J71-L71</f>
        <v>2410.7754</v>
      </c>
      <c r="N71" s="19" t="n">
        <v>14.837</v>
      </c>
      <c r="O71" s="21" t="n">
        <f aca="false">N71*H71</f>
        <v>143577.292652838</v>
      </c>
      <c r="P71" s="21" t="n">
        <f aca="false">I71+L71-O71</f>
        <v>349849.891927162</v>
      </c>
    </row>
    <row r="72" customFormat="false" ht="15" hidden="false" customHeight="false" outlineLevel="0" collapsed="false">
      <c r="A72" s="12" t="n">
        <v>46321</v>
      </c>
      <c r="B72" s="13" t="str">
        <f aca="false">TEXT(A72,"YYYY-MM")</f>
        <v>2026-10</v>
      </c>
      <c r="C72" s="13" t="s">
        <v>195</v>
      </c>
      <c r="D72" s="17" t="s">
        <v>93</v>
      </c>
      <c r="E72" s="17" t="n">
        <v>1</v>
      </c>
      <c r="F72" s="20" t="n">
        <f aca="false">E72*INDEX(SKU_Register!$G$5:$G$22,MATCH(D72,SKU_Register!$A$5:$A$22,0))</f>
        <v>11.829</v>
      </c>
      <c r="G72" s="20" t="n">
        <f aca="false">E72*INDEX(SKU_Register!$H$5:$H$22,MATCH(D72,SKU_Register!$A$5:$A$22,0))</f>
        <v>10.835364</v>
      </c>
      <c r="H72" s="24" t="n">
        <f aca="false">Rate_Sheet!$F$26</f>
        <v>9676.97598253275</v>
      </c>
      <c r="I72" s="21" t="n">
        <f aca="false">G72*H72</f>
        <v>104853.55719</v>
      </c>
      <c r="J72" s="21" t="n">
        <f aca="false">E72*INDEX(SKU_Register!$K$5:$K$22,MATCH(D72,SKU_Register!$A$5:$A$22,0))</f>
        <v>6162.909</v>
      </c>
      <c r="K72" s="22" t="n">
        <v>0.2</v>
      </c>
      <c r="L72" s="21" t="n">
        <f aca="false">J72*(1-K72)</f>
        <v>4930.3272</v>
      </c>
      <c r="M72" s="21" t="n">
        <f aca="false">J72-L72</f>
        <v>1232.5818</v>
      </c>
      <c r="N72" s="19" t="n">
        <v>0</v>
      </c>
      <c r="O72" s="21" t="n">
        <f aca="false">N72*H72</f>
        <v>0</v>
      </c>
      <c r="P72" s="21" t="n">
        <f aca="false">I72+L72-O72</f>
        <v>109783.88439</v>
      </c>
    </row>
    <row r="73" customFormat="false" ht="15" hidden="false" customHeight="false" outlineLevel="0" collapsed="false">
      <c r="A73" s="3" t="s">
        <v>196</v>
      </c>
      <c r="G73" s="25" t="n">
        <f aca="false">SUM(G5:G72)</f>
        <v>1656.82637</v>
      </c>
      <c r="I73" s="26" t="n">
        <f aca="false">SUM(I5:I72)</f>
        <v>15842902.7391424</v>
      </c>
      <c r="J73" s="26" t="n">
        <f aca="false">SUM(J5:J72)</f>
        <v>1344942.47916717</v>
      </c>
      <c r="L73" s="26" t="n">
        <f aca="false">SUM(L5:L72)</f>
        <v>1143284.31418219</v>
      </c>
      <c r="M73" s="26" t="n">
        <f aca="false">SUM(M5:M72)</f>
        <v>201658.164984985</v>
      </c>
      <c r="O73" s="26" t="n">
        <f aca="false">SUM(O5:O72)</f>
        <v>2062853.64610262</v>
      </c>
      <c r="P73" s="26" t="n">
        <f aca="false">SUM(P5:P72)</f>
        <v>14923333.407222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18"/>
    <col collapsed="false" customWidth="true" hidden="false" outlineLevel="0" max="7" min="7" style="0" width="13"/>
    <col collapsed="false" customWidth="true" hidden="false" outlineLevel="0" max="10" min="8" style="0" width="16"/>
    <col collapsed="false" customWidth="true" hidden="false" outlineLevel="0" max="12" min="11" style="0" width="14"/>
    <col collapsed="false" customWidth="true" hidden="false" outlineLevel="0" max="13" min="13" style="0" width="11"/>
    <col collapsed="false" customWidth="true" hidden="false" outlineLevel="0" max="14" min="14" style="0" width="16"/>
  </cols>
  <sheetData>
    <row r="1" customFormat="false" ht="17.35" hidden="false" customHeight="false" outlineLevel="0" collapsed="false">
      <c r="A1" s="1" t="s">
        <v>197</v>
      </c>
    </row>
    <row r="2" customFormat="false" ht="15" hidden="false" customHeight="false" outlineLevel="0" collapsed="false">
      <c r="A2" s="2" t="s">
        <v>198</v>
      </c>
    </row>
    <row r="4" customFormat="false" ht="30" hidden="false" customHeight="true" outlineLevel="0" collapsed="false">
      <c r="A4" s="8" t="s">
        <v>55</v>
      </c>
      <c r="B4" s="8" t="s">
        <v>56</v>
      </c>
      <c r="C4" s="8" t="s">
        <v>199</v>
      </c>
      <c r="D4" s="8" t="s">
        <v>200</v>
      </c>
      <c r="E4" s="8" t="s">
        <v>201</v>
      </c>
      <c r="F4" s="8" t="s">
        <v>202</v>
      </c>
      <c r="G4" s="8" t="s">
        <v>203</v>
      </c>
      <c r="H4" s="8" t="s">
        <v>204</v>
      </c>
      <c r="I4" s="8" t="s">
        <v>205</v>
      </c>
      <c r="J4" s="8" t="s">
        <v>206</v>
      </c>
      <c r="K4" s="8" t="s">
        <v>207</v>
      </c>
      <c r="L4" s="8" t="s">
        <v>208</v>
      </c>
      <c r="M4" s="8" t="s">
        <v>209</v>
      </c>
      <c r="N4" s="8" t="s">
        <v>62</v>
      </c>
    </row>
    <row r="5" customFormat="false" ht="15" hidden="false" customHeight="false" outlineLevel="0" collapsed="false">
      <c r="A5" s="12" t="n">
        <v>46296</v>
      </c>
      <c r="B5" s="13" t="str">
        <f aca="false">TEXT(A5,"YYYY-MM")</f>
        <v>2026-10</v>
      </c>
      <c r="C5" s="10" t="n">
        <v>1820</v>
      </c>
      <c r="D5" s="19" t="n">
        <v>81.875</v>
      </c>
      <c r="E5" s="20" t="n">
        <f aca="false">SUMIFS(Karigar_Ledger!$H$5:$H$56,Karigar_Ledger!$A$5:$A$56,A5)</f>
        <v>128.41862</v>
      </c>
      <c r="F5" s="20" t="n">
        <f aca="false">SUMIFS(Karigar_Ledger!$J$5:$J$56,Karigar_Ledger!$A$5:$A$56,A5)+SUMIFS(Karigar_Ledger!$K$5:$K$56,Karigar_Ledger!$A$5:$A$56,A5)</f>
        <v>125.919788</v>
      </c>
      <c r="G5" s="20" t="n">
        <f aca="false">SUMIFS(Sales_Register!$G$5:$G$72,Sales_Register!$A$5:$A$72,A5)</f>
        <v>33.019052</v>
      </c>
      <c r="H5" s="20" t="n">
        <f aca="false">SUMIFS(Sales_Register!$N$5:$N$72,Sales_Register!$A$5:$A$72,A5)</f>
        <v>17.528</v>
      </c>
      <c r="I5" s="20" t="n">
        <f aca="false">C5+D5-E5+F5-G5+H5</f>
        <v>1883.885116</v>
      </c>
      <c r="J5" s="20" t="n">
        <f aca="false">I5+-0.5</f>
        <v>1883.385116</v>
      </c>
      <c r="K5" s="20" t="n">
        <f aca="false">J5-I5</f>
        <v>-0.5</v>
      </c>
      <c r="L5" s="21" t="n">
        <f aca="false">K5*Rate_Sheet!$D$5</f>
        <v>-4598.9</v>
      </c>
      <c r="M5" s="27" t="n">
        <f aca="false">Setup!$B$25</f>
        <v>2</v>
      </c>
      <c r="N5" s="13" t="str">
        <f aca="false">IF(ABS(K5)&gt;M5,"INVESTIGATE","OK")</f>
        <v>OK</v>
      </c>
    </row>
    <row r="6" customFormat="false" ht="15" hidden="false" customHeight="false" outlineLevel="0" collapsed="false">
      <c r="A6" s="12" t="n">
        <v>46297</v>
      </c>
      <c r="B6" s="13" t="str">
        <f aca="false">TEXT(A6,"YYYY-MM")</f>
        <v>2026-10</v>
      </c>
      <c r="C6" s="20" t="n">
        <f aca="false">I5</f>
        <v>1883.885116</v>
      </c>
      <c r="D6" s="19" t="n">
        <v>0</v>
      </c>
      <c r="E6" s="20" t="n">
        <f aca="false">SUMIFS(Karigar_Ledger!$H$5:$H$56,Karigar_Ledger!$A$5:$A$56,A6)</f>
        <v>212.796876</v>
      </c>
      <c r="F6" s="20" t="n">
        <f aca="false">SUMIFS(Karigar_Ledger!$J$5:$J$56,Karigar_Ledger!$A$5:$A$56,A6)+SUMIFS(Karigar_Ledger!$K$5:$K$56,Karigar_Ledger!$A$5:$A$56,A6)</f>
        <v>206.814536</v>
      </c>
      <c r="G6" s="20" t="n">
        <f aca="false">SUMIFS(Sales_Register!$G$5:$G$72,Sales_Register!$A$5:$A$72,A6)</f>
        <v>83.43844</v>
      </c>
      <c r="H6" s="20" t="n">
        <f aca="false">SUMIFS(Sales_Register!$N$5:$N$72,Sales_Register!$A$5:$A$72,A6)</f>
        <v>28.44</v>
      </c>
      <c r="I6" s="20" t="n">
        <f aca="false">C6+D6-E6+F6-G6+H6</f>
        <v>1822.904336</v>
      </c>
      <c r="J6" s="20" t="n">
        <f aca="false">I6+-0.373</f>
        <v>1822.531336</v>
      </c>
      <c r="K6" s="20" t="n">
        <f aca="false">J6-I6</f>
        <v>-0.373000000000047</v>
      </c>
      <c r="L6" s="21" t="n">
        <f aca="false">K6*Rate_Sheet!$D$6</f>
        <v>-3487.06510000044</v>
      </c>
      <c r="M6" s="27" t="n">
        <f aca="false">Setup!$B$25</f>
        <v>2</v>
      </c>
      <c r="N6" s="13" t="str">
        <f aca="false">IF(ABS(K6)&gt;M6,"INVESTIGATE","OK")</f>
        <v>OK</v>
      </c>
    </row>
    <row r="7" customFormat="false" ht="15" hidden="false" customHeight="false" outlineLevel="0" collapsed="false">
      <c r="A7" s="12" t="n">
        <v>46298</v>
      </c>
      <c r="B7" s="13" t="str">
        <f aca="false">TEXT(A7,"YYYY-MM")</f>
        <v>2026-10</v>
      </c>
      <c r="C7" s="20" t="n">
        <f aca="false">I6</f>
        <v>1822.904336</v>
      </c>
      <c r="D7" s="19" t="n">
        <v>0</v>
      </c>
      <c r="E7" s="20" t="n">
        <f aca="false">SUMIFS(Karigar_Ledger!$H$5:$H$56,Karigar_Ledger!$A$5:$A$56,A7)</f>
        <v>487.4723</v>
      </c>
      <c r="F7" s="20" t="n">
        <f aca="false">SUMIFS(Karigar_Ledger!$J$5:$J$56,Karigar_Ledger!$A$5:$A$56,A7)+SUMIFS(Karigar_Ledger!$K$5:$K$56,Karigar_Ledger!$A$5:$A$56,A7)</f>
        <v>469.341828</v>
      </c>
      <c r="G7" s="20" t="n">
        <f aca="false">SUMIFS(Sales_Register!$G$5:$G$72,Sales_Register!$A$5:$A$72,A7)</f>
        <v>107.5775</v>
      </c>
      <c r="H7" s="20" t="n">
        <f aca="false">SUMIFS(Sales_Register!$N$5:$N$72,Sales_Register!$A$5:$A$72,A7)</f>
        <v>16.579</v>
      </c>
      <c r="I7" s="20" t="n">
        <f aca="false">C7+D7-E7+F7-G7+H7</f>
        <v>1713.775364</v>
      </c>
      <c r="J7" s="20" t="n">
        <f aca="false">I7+0.558</f>
        <v>1714.333364</v>
      </c>
      <c r="K7" s="20" t="n">
        <f aca="false">J7-I7</f>
        <v>0.557999999999993</v>
      </c>
      <c r="L7" s="21" t="n">
        <f aca="false">K7*Rate_Sheet!$D$7</f>
        <v>5248.21319999993</v>
      </c>
      <c r="M7" s="27" t="n">
        <f aca="false">Setup!$B$25</f>
        <v>2</v>
      </c>
      <c r="N7" s="13" t="str">
        <f aca="false">IF(ABS(K7)&gt;M7,"INVESTIGATE","OK")</f>
        <v>OK</v>
      </c>
    </row>
    <row r="8" customFormat="false" ht="15" hidden="false" customHeight="false" outlineLevel="0" collapsed="false">
      <c r="A8" s="12" t="n">
        <v>46300</v>
      </c>
      <c r="B8" s="13" t="str">
        <f aca="false">TEXT(A8,"YYYY-MM")</f>
        <v>2026-10</v>
      </c>
      <c r="C8" s="20" t="n">
        <f aca="false">I7</f>
        <v>1713.775364</v>
      </c>
      <c r="D8" s="19" t="n">
        <v>152.127</v>
      </c>
      <c r="E8" s="20" t="n">
        <f aca="false">SUMIFS(Karigar_Ledger!$H$5:$H$56,Karigar_Ledger!$A$5:$A$56,A8)</f>
        <v>511.94782</v>
      </c>
      <c r="F8" s="20" t="n">
        <f aca="false">SUMIFS(Karigar_Ledger!$J$5:$J$56,Karigar_Ledger!$A$5:$A$56,A8)+SUMIFS(Karigar_Ledger!$K$5:$K$56,Karigar_Ledger!$A$5:$A$56,A8)</f>
        <v>497.234372</v>
      </c>
      <c r="G8" s="20" t="n">
        <f aca="false">SUMIFS(Sales_Register!$G$5:$G$72,Sales_Register!$A$5:$A$72,A8)</f>
        <v>70.473376</v>
      </c>
      <c r="H8" s="20" t="n">
        <f aca="false">SUMIFS(Sales_Register!$N$5:$N$72,Sales_Register!$A$5:$A$72,A8)</f>
        <v>11.521</v>
      </c>
      <c r="I8" s="20" t="n">
        <f aca="false">C8+D8-E8+F8-G8+H8</f>
        <v>1792.23654</v>
      </c>
      <c r="J8" s="20" t="n">
        <f aca="false">I8+-3.42</f>
        <v>1788.81654</v>
      </c>
      <c r="K8" s="20" t="n">
        <f aca="false">J8-I8</f>
        <v>-3.42000000000007</v>
      </c>
      <c r="L8" s="21" t="n">
        <f aca="false">K8*Rate_Sheet!$D$8</f>
        <v>-32225.6340000007</v>
      </c>
      <c r="M8" s="27" t="n">
        <f aca="false">Setup!$B$25</f>
        <v>2</v>
      </c>
      <c r="N8" s="13" t="str">
        <f aca="false">IF(ABS(K8)&gt;M8,"INVESTIGATE","OK")</f>
        <v>INVESTIGATE</v>
      </c>
    </row>
    <row r="9" customFormat="false" ht="15" hidden="false" customHeight="false" outlineLevel="0" collapsed="false">
      <c r="A9" s="12" t="n">
        <v>46301</v>
      </c>
      <c r="B9" s="13" t="str">
        <f aca="false">TEXT(A9,"YYYY-MM")</f>
        <v>2026-10</v>
      </c>
      <c r="C9" s="20" t="n">
        <f aca="false">I8</f>
        <v>1792.23654</v>
      </c>
      <c r="D9" s="19" t="n">
        <v>0</v>
      </c>
      <c r="E9" s="20" t="n">
        <f aca="false">SUMIFS(Karigar_Ledger!$H$5:$H$56,Karigar_Ledger!$A$5:$A$56,A9)</f>
        <v>374.356376</v>
      </c>
      <c r="F9" s="20" t="n">
        <f aca="false">SUMIFS(Karigar_Ledger!$J$5:$J$56,Karigar_Ledger!$A$5:$A$56,A9)+SUMIFS(Karigar_Ledger!$K$5:$K$56,Karigar_Ledger!$A$5:$A$56,A9)</f>
        <v>362.368156</v>
      </c>
      <c r="G9" s="20" t="n">
        <f aca="false">SUMIFS(Sales_Register!$G$5:$G$72,Sales_Register!$A$5:$A$72,A9)</f>
        <v>47.949852</v>
      </c>
      <c r="H9" s="20" t="n">
        <f aca="false">SUMIFS(Sales_Register!$N$5:$N$72,Sales_Register!$A$5:$A$72,A9)</f>
        <v>4.223</v>
      </c>
      <c r="I9" s="20" t="n">
        <f aca="false">C9+D9-E9+F9-G9+H9</f>
        <v>1736.521468</v>
      </c>
      <c r="J9" s="20" t="n">
        <f aca="false">I9+0.573</f>
        <v>1737.094468</v>
      </c>
      <c r="K9" s="20" t="n">
        <f aca="false">J9-I9</f>
        <v>0.573000000000093</v>
      </c>
      <c r="L9" s="21" t="n">
        <f aca="false">K9*Rate_Sheet!$D$9</f>
        <v>5453.69940000088</v>
      </c>
      <c r="M9" s="27" t="n">
        <f aca="false">Setup!$B$25</f>
        <v>2</v>
      </c>
      <c r="N9" s="13" t="str">
        <f aca="false">IF(ABS(K9)&gt;M9,"INVESTIGATE","OK")</f>
        <v>OK</v>
      </c>
    </row>
    <row r="10" customFormat="false" ht="15" hidden="false" customHeight="false" outlineLevel="0" collapsed="false">
      <c r="A10" s="12" t="n">
        <v>46302</v>
      </c>
      <c r="B10" s="13" t="str">
        <f aca="false">TEXT(A10,"YYYY-MM")</f>
        <v>2026-10</v>
      </c>
      <c r="C10" s="20" t="n">
        <f aca="false">I9</f>
        <v>1736.521468</v>
      </c>
      <c r="D10" s="19" t="n">
        <v>0</v>
      </c>
      <c r="E10" s="20" t="n">
        <f aca="false">SUMIFS(Karigar_Ledger!$H$5:$H$56,Karigar_Ledger!$A$5:$A$56,A10)</f>
        <v>255.767352</v>
      </c>
      <c r="F10" s="20" t="n">
        <f aca="false">SUMIFS(Karigar_Ledger!$J$5:$J$56,Karigar_Ledger!$A$5:$A$56,A10)+SUMIFS(Karigar_Ledger!$K$5:$K$56,Karigar_Ledger!$A$5:$A$56,A10)</f>
        <v>244.515668</v>
      </c>
      <c r="G10" s="20" t="n">
        <f aca="false">SUMIFS(Sales_Register!$G$5:$G$72,Sales_Register!$A$5:$A$72,A10)</f>
        <v>33.680974</v>
      </c>
      <c r="H10" s="20" t="n">
        <f aca="false">SUMIFS(Sales_Register!$N$5:$N$72,Sales_Register!$A$5:$A$72,A10)</f>
        <v>2.085</v>
      </c>
      <c r="I10" s="20" t="n">
        <f aca="false">C10+D10-E10+F10-G10+H10</f>
        <v>1693.67381</v>
      </c>
      <c r="J10" s="20" t="n">
        <f aca="false">I10+0.189</f>
        <v>1693.86281</v>
      </c>
      <c r="K10" s="20" t="n">
        <f aca="false">J10-I10</f>
        <v>0.189000000000078</v>
      </c>
      <c r="L10" s="21" t="n">
        <f aca="false">K10*Rate_Sheet!$D$10</f>
        <v>1818.27450000075</v>
      </c>
      <c r="M10" s="27" t="n">
        <f aca="false">Setup!$B$25</f>
        <v>2</v>
      </c>
      <c r="N10" s="13" t="str">
        <f aca="false">IF(ABS(K10)&gt;M10,"INVESTIGATE","OK")</f>
        <v>OK</v>
      </c>
    </row>
    <row r="11" customFormat="false" ht="15" hidden="false" customHeight="false" outlineLevel="0" collapsed="false">
      <c r="A11" s="12" t="n">
        <v>46303</v>
      </c>
      <c r="B11" s="13" t="str">
        <f aca="false">TEXT(A11,"YYYY-MM")</f>
        <v>2026-10</v>
      </c>
      <c r="C11" s="20" t="n">
        <f aca="false">I10</f>
        <v>1693.67381</v>
      </c>
      <c r="D11" s="19" t="n">
        <v>0</v>
      </c>
      <c r="E11" s="20" t="n">
        <f aca="false">SUMIFS(Karigar_Ledger!$H$5:$H$56,Karigar_Ledger!$A$5:$A$56,A11)</f>
        <v>376.357836</v>
      </c>
      <c r="F11" s="20" t="n">
        <f aca="false">SUMIFS(Karigar_Ledger!$J$5:$J$56,Karigar_Ledger!$A$5:$A$56,A11)+SUMIFS(Karigar_Ledger!$K$5:$K$56,Karigar_Ledger!$A$5:$A$56,A11)</f>
        <v>360.018068</v>
      </c>
      <c r="G11" s="20" t="n">
        <f aca="false">SUMIFS(Sales_Register!$G$5:$G$72,Sales_Register!$A$5:$A$72,A11)</f>
        <v>104.88658</v>
      </c>
      <c r="H11" s="20" t="n">
        <f aca="false">SUMIFS(Sales_Register!$N$5:$N$72,Sales_Register!$A$5:$A$72,A11)</f>
        <v>0.248</v>
      </c>
      <c r="I11" s="20" t="n">
        <f aca="false">C11+D11-E11+F11-G11+H11</f>
        <v>1572.695462</v>
      </c>
      <c r="J11" s="20" t="n">
        <f aca="false">I11+-0.798</f>
        <v>1571.897462</v>
      </c>
      <c r="K11" s="20" t="n">
        <f aca="false">J11-I11</f>
        <v>-0.798000000000002</v>
      </c>
      <c r="L11" s="21" t="n">
        <f aca="false">K11*Rate_Sheet!$D$11</f>
        <v>-7721.60760000002</v>
      </c>
      <c r="M11" s="27" t="n">
        <f aca="false">Setup!$B$25</f>
        <v>2</v>
      </c>
      <c r="N11" s="13" t="str">
        <f aca="false">IF(ABS(K11)&gt;M11,"INVESTIGATE","OK")</f>
        <v>OK</v>
      </c>
    </row>
    <row r="12" customFormat="false" ht="15" hidden="false" customHeight="false" outlineLevel="0" collapsed="false">
      <c r="A12" s="12" t="n">
        <v>46304</v>
      </c>
      <c r="B12" s="13" t="str">
        <f aca="false">TEXT(A12,"YYYY-MM")</f>
        <v>2026-10</v>
      </c>
      <c r="C12" s="20" t="n">
        <f aca="false">I11</f>
        <v>1572.695462</v>
      </c>
      <c r="D12" s="19" t="n">
        <v>167.566</v>
      </c>
      <c r="E12" s="20" t="n">
        <f aca="false">SUMIFS(Karigar_Ledger!$H$5:$H$56,Karigar_Ledger!$A$5:$A$56,A12)</f>
        <v>252.787604</v>
      </c>
      <c r="F12" s="20" t="n">
        <f aca="false">SUMIFS(Karigar_Ledger!$J$5:$J$56,Karigar_Ledger!$A$5:$A$56,A12)+SUMIFS(Karigar_Ledger!$K$5:$K$56,Karigar_Ledger!$A$5:$A$56,A12)</f>
        <v>245.80818</v>
      </c>
      <c r="G12" s="20" t="n">
        <f aca="false">SUMIFS(Sales_Register!$G$5:$G$72,Sales_Register!$A$5:$A$72,A12)</f>
        <v>107.583284</v>
      </c>
      <c r="H12" s="20" t="n">
        <f aca="false">SUMIFS(Sales_Register!$N$5:$N$72,Sales_Register!$A$5:$A$72,A12)</f>
        <v>0</v>
      </c>
      <c r="I12" s="20" t="n">
        <f aca="false">C12+D12-E12+F12-G12+H12</f>
        <v>1625.698754</v>
      </c>
      <c r="J12" s="20" t="n">
        <f aca="false">I12+0.675</f>
        <v>1626.373754</v>
      </c>
      <c r="K12" s="20" t="n">
        <f aca="false">J12-I12</f>
        <v>0.674999999999955</v>
      </c>
      <c r="L12" s="21" t="n">
        <f aca="false">K12*Rate_Sheet!$D$12</f>
        <v>6590.96999999956</v>
      </c>
      <c r="M12" s="27" t="n">
        <f aca="false">Setup!$B$25</f>
        <v>2</v>
      </c>
      <c r="N12" s="13" t="str">
        <f aca="false">IF(ABS(K12)&gt;M12,"INVESTIGATE","OK")</f>
        <v>OK</v>
      </c>
    </row>
    <row r="13" customFormat="false" ht="15" hidden="false" customHeight="false" outlineLevel="0" collapsed="false">
      <c r="A13" s="12" t="n">
        <v>46305</v>
      </c>
      <c r="B13" s="13" t="str">
        <f aca="false">TEXT(A13,"YYYY-MM")</f>
        <v>2026-10</v>
      </c>
      <c r="C13" s="20" t="n">
        <f aca="false">I12</f>
        <v>1625.698754</v>
      </c>
      <c r="D13" s="19" t="n">
        <v>183.235</v>
      </c>
      <c r="E13" s="20" t="n">
        <f aca="false">SUMIFS(Karigar_Ledger!$H$5:$H$56,Karigar_Ledger!$A$5:$A$56,A13)</f>
        <v>185.617324</v>
      </c>
      <c r="F13" s="20" t="n">
        <f aca="false">SUMIFS(Karigar_Ledger!$J$5:$J$56,Karigar_Ledger!$A$5:$A$56,A13)+SUMIFS(Karigar_Ledger!$K$5:$K$56,Karigar_Ledger!$A$5:$A$56,A13)</f>
        <v>182.053168</v>
      </c>
      <c r="G13" s="20" t="n">
        <f aca="false">SUMIFS(Sales_Register!$G$5:$G$72,Sales_Register!$A$5:$A$72,A13)</f>
        <v>115.605612</v>
      </c>
      <c r="H13" s="20" t="n">
        <f aca="false">SUMIFS(Sales_Register!$N$5:$N$72,Sales_Register!$A$5:$A$72,A13)</f>
        <v>0</v>
      </c>
      <c r="I13" s="20" t="n">
        <f aca="false">C13+D13-E13+F13-G13+H13</f>
        <v>1689.763986</v>
      </c>
      <c r="J13" s="20" t="n">
        <f aca="false">I13+-0.05</f>
        <v>1689.713986</v>
      </c>
      <c r="K13" s="20" t="n">
        <f aca="false">J13-I13</f>
        <v>-0.0499999999999545</v>
      </c>
      <c r="L13" s="21" t="n">
        <f aca="false">K13*Rate_Sheet!$D$13</f>
        <v>-482.894999999561</v>
      </c>
      <c r="M13" s="27" t="n">
        <f aca="false">Setup!$B$25</f>
        <v>2</v>
      </c>
      <c r="N13" s="13" t="str">
        <f aca="false">IF(ABS(K13)&gt;M13,"INVESTIGATE","OK")</f>
        <v>OK</v>
      </c>
    </row>
    <row r="14" customFormat="false" ht="15" hidden="false" customHeight="false" outlineLevel="0" collapsed="false">
      <c r="A14" s="12" t="n">
        <v>46307</v>
      </c>
      <c r="B14" s="13" t="str">
        <f aca="false">TEXT(A14,"YYYY-MM")</f>
        <v>2026-10</v>
      </c>
      <c r="C14" s="20" t="n">
        <f aca="false">I13</f>
        <v>1689.763986</v>
      </c>
      <c r="D14" s="19" t="n">
        <v>0</v>
      </c>
      <c r="E14" s="20" t="n">
        <f aca="false">SUMIFS(Karigar_Ledger!$H$5:$H$56,Karigar_Ledger!$A$5:$A$56,A14)</f>
        <v>387.331516</v>
      </c>
      <c r="F14" s="20" t="n">
        <f aca="false">SUMIFS(Karigar_Ledger!$J$5:$J$56,Karigar_Ledger!$A$5:$A$56,A14)+SUMIFS(Karigar_Ledger!$K$5:$K$56,Karigar_Ledger!$A$5:$A$56,A14)</f>
        <v>376.89838</v>
      </c>
      <c r="G14" s="20" t="n">
        <f aca="false">SUMIFS(Sales_Register!$G$5:$G$72,Sales_Register!$A$5:$A$72,A14)</f>
        <v>51.2664</v>
      </c>
      <c r="H14" s="20" t="n">
        <f aca="false">SUMIFS(Sales_Register!$N$5:$N$72,Sales_Register!$A$5:$A$72,A14)</f>
        <v>25.918</v>
      </c>
      <c r="I14" s="20" t="n">
        <f aca="false">C14+D14-E14+F14-G14+H14</f>
        <v>1653.98245</v>
      </c>
      <c r="J14" s="20" t="n">
        <f aca="false">I14+-0.02</f>
        <v>1653.96245</v>
      </c>
      <c r="K14" s="20" t="n">
        <f aca="false">J14-I14</f>
        <v>-0.0199999999999818</v>
      </c>
      <c r="L14" s="21" t="n">
        <f aca="false">K14*Rate_Sheet!$D$14</f>
        <v>-192.245999999825</v>
      </c>
      <c r="M14" s="27" t="n">
        <f aca="false">Setup!$B$25</f>
        <v>2</v>
      </c>
      <c r="N14" s="13" t="str">
        <f aca="false">IF(ABS(K14)&gt;M14,"INVESTIGATE","OK")</f>
        <v>OK</v>
      </c>
    </row>
    <row r="15" customFormat="false" ht="15" hidden="false" customHeight="false" outlineLevel="0" collapsed="false">
      <c r="A15" s="12" t="n">
        <v>46308</v>
      </c>
      <c r="B15" s="13" t="str">
        <f aca="false">TEXT(A15,"YYYY-MM")</f>
        <v>2026-10</v>
      </c>
      <c r="C15" s="20" t="n">
        <f aca="false">I14</f>
        <v>1653.98245</v>
      </c>
      <c r="D15" s="19" t="n">
        <v>50.833</v>
      </c>
      <c r="E15" s="20" t="n">
        <f aca="false">SUMIFS(Karigar_Ledger!$H$5:$H$56,Karigar_Ledger!$A$5:$A$56,A15)</f>
        <v>255.638196</v>
      </c>
      <c r="F15" s="20" t="n">
        <f aca="false">SUMIFS(Karigar_Ledger!$J$5:$J$56,Karigar_Ledger!$A$5:$A$56,A15)+SUMIFS(Karigar_Ledger!$K$5:$K$56,Karigar_Ledger!$A$5:$A$56,A15)</f>
        <v>252.25856</v>
      </c>
      <c r="G15" s="20" t="n">
        <f aca="false">SUMIFS(Sales_Register!$G$5:$G$72,Sales_Register!$A$5:$A$72,A15)</f>
        <v>98.51694</v>
      </c>
      <c r="H15" s="20" t="n">
        <f aca="false">SUMIFS(Sales_Register!$N$5:$N$72,Sales_Register!$A$5:$A$72,A15)</f>
        <v>0</v>
      </c>
      <c r="I15" s="20" t="n">
        <f aca="false">C15+D15-E15+F15-G15+H15</f>
        <v>1602.918874</v>
      </c>
      <c r="J15" s="20" t="n">
        <f aca="false">I15+-4.18</f>
        <v>1598.738874</v>
      </c>
      <c r="K15" s="20" t="n">
        <f aca="false">J15-I15</f>
        <v>-4.18000000000006</v>
      </c>
      <c r="L15" s="21" t="n">
        <f aca="false">K15*Rate_Sheet!$D$15</f>
        <v>-40244.6220000006</v>
      </c>
      <c r="M15" s="27" t="n">
        <f aca="false">Setup!$B$25</f>
        <v>2</v>
      </c>
      <c r="N15" s="13" t="str">
        <f aca="false">IF(ABS(K15)&gt;M15,"INVESTIGATE","OK")</f>
        <v>INVESTIGATE</v>
      </c>
    </row>
    <row r="16" customFormat="false" ht="15" hidden="false" customHeight="false" outlineLevel="0" collapsed="false">
      <c r="A16" s="12" t="n">
        <v>46309</v>
      </c>
      <c r="B16" s="13" t="str">
        <f aca="false">TEXT(A16,"YYYY-MM")</f>
        <v>2026-10</v>
      </c>
      <c r="C16" s="20" t="n">
        <f aca="false">I15</f>
        <v>1602.918874</v>
      </c>
      <c r="D16" s="19" t="n">
        <v>0</v>
      </c>
      <c r="E16" s="20" t="n">
        <f aca="false">SUMIFS(Karigar_Ledger!$H$5:$H$56,Karigar_Ledger!$A$5:$A$56,A16)</f>
        <v>292.193924</v>
      </c>
      <c r="F16" s="20" t="n">
        <f aca="false">SUMIFS(Karigar_Ledger!$J$5:$J$56,Karigar_Ledger!$A$5:$A$56,A16)+SUMIFS(Karigar_Ledger!$K$5:$K$56,Karigar_Ledger!$A$5:$A$56,A16)</f>
        <v>279.513036</v>
      </c>
      <c r="G16" s="20" t="n">
        <f aca="false">SUMIFS(Sales_Register!$G$5:$G$72,Sales_Register!$A$5:$A$72,A16)</f>
        <v>88.185152</v>
      </c>
      <c r="H16" s="20" t="n">
        <f aca="false">SUMIFS(Sales_Register!$N$5:$N$72,Sales_Register!$A$5:$A$72,A16)</f>
        <v>0</v>
      </c>
      <c r="I16" s="20" t="n">
        <f aca="false">C16+D16-E16+F16-G16+H16</f>
        <v>1502.052834</v>
      </c>
      <c r="J16" s="20" t="n">
        <f aca="false">I16+4.05</f>
        <v>1506.102834</v>
      </c>
      <c r="K16" s="20" t="n">
        <f aca="false">J16-I16</f>
        <v>4.04999999999995</v>
      </c>
      <c r="L16" s="21" t="n">
        <f aca="false">K16*Rate_Sheet!$D$16</f>
        <v>38931.8399999996</v>
      </c>
      <c r="M16" s="27" t="n">
        <f aca="false">Setup!$B$25</f>
        <v>2</v>
      </c>
      <c r="N16" s="13" t="str">
        <f aca="false">IF(ABS(K16)&gt;M16,"INVESTIGATE","OK")</f>
        <v>INVESTIGATE</v>
      </c>
    </row>
    <row r="17" customFormat="false" ht="15" hidden="false" customHeight="false" outlineLevel="0" collapsed="false">
      <c r="A17" s="12" t="n">
        <v>46310</v>
      </c>
      <c r="B17" s="13" t="str">
        <f aca="false">TEXT(A17,"YYYY-MM")</f>
        <v>2026-10</v>
      </c>
      <c r="C17" s="20" t="n">
        <f aca="false">I16</f>
        <v>1502.052834</v>
      </c>
      <c r="D17" s="19" t="n">
        <v>127.377</v>
      </c>
      <c r="E17" s="20" t="n">
        <f aca="false">SUMIFS(Karigar_Ledger!$H$5:$H$56,Karigar_Ledger!$A$5:$A$56,A17)</f>
        <v>496.246664</v>
      </c>
      <c r="F17" s="20" t="n">
        <f aca="false">SUMIFS(Karigar_Ledger!$J$5:$J$56,Karigar_Ledger!$A$5:$A$56,A17)+SUMIFS(Karigar_Ledger!$K$5:$K$56,Karigar_Ledger!$A$5:$A$56,A17)</f>
        <v>485.532608</v>
      </c>
      <c r="G17" s="20" t="n">
        <f aca="false">SUMIFS(Sales_Register!$G$5:$G$72,Sales_Register!$A$5:$A$72,A17)</f>
        <v>135.539604</v>
      </c>
      <c r="H17" s="20" t="n">
        <f aca="false">SUMIFS(Sales_Register!$N$5:$N$72,Sales_Register!$A$5:$A$72,A17)</f>
        <v>31.004</v>
      </c>
      <c r="I17" s="20" t="n">
        <f aca="false">C17+D17-E17+F17-G17+H17</f>
        <v>1514.180174</v>
      </c>
      <c r="J17" s="20" t="n">
        <f aca="false">I17+0.141</f>
        <v>1514.321174</v>
      </c>
      <c r="K17" s="20" t="n">
        <f aca="false">J17-I17</f>
        <v>0.141000000000076</v>
      </c>
      <c r="L17" s="21" t="n">
        <f aca="false">K17*Rate_Sheet!$D$17</f>
        <v>1354.43190000073</v>
      </c>
      <c r="M17" s="27" t="n">
        <f aca="false">Setup!$B$25</f>
        <v>2</v>
      </c>
      <c r="N17" s="13" t="str">
        <f aca="false">IF(ABS(K17)&gt;M17,"INVESTIGATE","OK")</f>
        <v>OK</v>
      </c>
    </row>
    <row r="18" customFormat="false" ht="15" hidden="false" customHeight="false" outlineLevel="0" collapsed="false">
      <c r="A18" s="12" t="n">
        <v>46311</v>
      </c>
      <c r="B18" s="13" t="str">
        <f aca="false">TEXT(A18,"YYYY-MM")</f>
        <v>2026-10</v>
      </c>
      <c r="C18" s="20" t="n">
        <f aca="false">I17</f>
        <v>1514.180174</v>
      </c>
      <c r="D18" s="19" t="n">
        <v>205.425</v>
      </c>
      <c r="E18" s="20" t="n">
        <f aca="false">SUMIFS(Karigar_Ledger!$H$5:$H$56,Karigar_Ledger!$A$5:$A$56,A18)</f>
        <v>216.26302</v>
      </c>
      <c r="F18" s="20" t="n">
        <f aca="false">SUMIFS(Karigar_Ledger!$J$5:$J$56,Karigar_Ledger!$A$5:$A$56,A18)+SUMIFS(Karigar_Ledger!$K$5:$K$56,Karigar_Ledger!$A$5:$A$56,A18)</f>
        <v>211.678836</v>
      </c>
      <c r="G18" s="20" t="n">
        <f aca="false">SUMIFS(Sales_Register!$G$5:$G$72,Sales_Register!$A$5:$A$72,A18)</f>
        <v>66.182486</v>
      </c>
      <c r="H18" s="20" t="n">
        <f aca="false">SUMIFS(Sales_Register!$N$5:$N$72,Sales_Register!$A$5:$A$72,A18)</f>
        <v>16.94</v>
      </c>
      <c r="I18" s="20" t="n">
        <f aca="false">C18+D18-E18+F18-G18+H18</f>
        <v>1665.778504</v>
      </c>
      <c r="J18" s="20" t="n">
        <f aca="false">I18+0.134</f>
        <v>1665.912504</v>
      </c>
      <c r="K18" s="20" t="n">
        <f aca="false">J18-I18</f>
        <v>0.134000000000015</v>
      </c>
      <c r="L18" s="21" t="n">
        <f aca="false">K18*Rate_Sheet!$D$18</f>
        <v>1297.01280000014</v>
      </c>
      <c r="M18" s="27" t="n">
        <f aca="false">Setup!$B$25</f>
        <v>2</v>
      </c>
      <c r="N18" s="13" t="str">
        <f aca="false">IF(ABS(K18)&gt;M18,"INVESTIGATE","OK")</f>
        <v>OK</v>
      </c>
    </row>
    <row r="19" customFormat="false" ht="15" hidden="false" customHeight="false" outlineLevel="0" collapsed="false">
      <c r="A19" s="12" t="n">
        <v>46312</v>
      </c>
      <c r="B19" s="13" t="str">
        <f aca="false">TEXT(A19,"YYYY-MM")</f>
        <v>2026-10</v>
      </c>
      <c r="C19" s="20" t="n">
        <f aca="false">I18</f>
        <v>1665.778504</v>
      </c>
      <c r="D19" s="19" t="n">
        <v>0</v>
      </c>
      <c r="E19" s="20" t="n">
        <f aca="false">SUMIFS(Karigar_Ledger!$H$5:$H$56,Karigar_Ledger!$A$5:$A$56,A19)</f>
        <v>366.687624</v>
      </c>
      <c r="F19" s="20" t="n">
        <f aca="false">SUMIFS(Karigar_Ledger!$J$5:$J$56,Karigar_Ledger!$A$5:$A$56,A19)+SUMIFS(Karigar_Ledger!$K$5:$K$56,Karigar_Ledger!$A$5:$A$56,A19)</f>
        <v>359.174408</v>
      </c>
      <c r="G19" s="20" t="n">
        <f aca="false">SUMIFS(Sales_Register!$G$5:$G$72,Sales_Register!$A$5:$A$72,A19)</f>
        <v>26.260458</v>
      </c>
      <c r="H19" s="20" t="n">
        <f aca="false">SUMIFS(Sales_Register!$N$5:$N$72,Sales_Register!$A$5:$A$72,A19)</f>
        <v>0</v>
      </c>
      <c r="I19" s="20" t="n">
        <f aca="false">C19+D19-E19+F19-G19+H19</f>
        <v>1632.00483</v>
      </c>
      <c r="J19" s="20" t="n">
        <f aca="false">I19+0.419</f>
        <v>1632.42383</v>
      </c>
      <c r="K19" s="20" t="n">
        <f aca="false">J19-I19</f>
        <v>0.419000000000096</v>
      </c>
      <c r="L19" s="21" t="n">
        <f aca="false">K19*Rate_Sheet!$D$19</f>
        <v>4066.81400000094</v>
      </c>
      <c r="M19" s="27" t="n">
        <f aca="false">Setup!$B$25</f>
        <v>2</v>
      </c>
      <c r="N19" s="13" t="str">
        <f aca="false">IF(ABS(K19)&gt;M19,"INVESTIGATE","OK")</f>
        <v>OK</v>
      </c>
    </row>
    <row r="20" customFormat="false" ht="15" hidden="false" customHeight="false" outlineLevel="0" collapsed="false">
      <c r="A20" s="12" t="n">
        <v>46314</v>
      </c>
      <c r="B20" s="13" t="str">
        <f aca="false">TEXT(A20,"YYYY-MM")</f>
        <v>2026-10</v>
      </c>
      <c r="C20" s="20" t="n">
        <f aca="false">I19</f>
        <v>1632.00483</v>
      </c>
      <c r="D20" s="19" t="n">
        <v>0</v>
      </c>
      <c r="E20" s="20" t="n">
        <f aca="false">SUMIFS(Karigar_Ledger!$H$5:$H$56,Karigar_Ledger!$A$5:$A$56,A20)</f>
        <v>294.449116</v>
      </c>
      <c r="F20" s="20" t="n">
        <f aca="false">SUMIFS(Karigar_Ledger!$J$5:$J$56,Karigar_Ledger!$A$5:$A$56,A20)+SUMIFS(Karigar_Ledger!$K$5:$K$56,Karigar_Ledger!$A$5:$A$56,A20)</f>
        <v>283.076024</v>
      </c>
      <c r="G20" s="20" t="n">
        <f aca="false">SUMIFS(Sales_Register!$G$5:$G$72,Sales_Register!$A$5:$A$72,A20)</f>
        <v>36.531912</v>
      </c>
      <c r="H20" s="20" t="n">
        <f aca="false">SUMIFS(Sales_Register!$N$5:$N$72,Sales_Register!$A$5:$A$72,A20)</f>
        <v>0</v>
      </c>
      <c r="I20" s="20" t="n">
        <f aca="false">C20+D20-E20+F20-G20+H20</f>
        <v>1584.099826</v>
      </c>
      <c r="J20" s="20" t="n">
        <f aca="false">I20+0.574</f>
        <v>1584.673826</v>
      </c>
      <c r="K20" s="20" t="n">
        <f aca="false">J20-I20</f>
        <v>0.574000000000069</v>
      </c>
      <c r="L20" s="21" t="n">
        <f aca="false">K20*Rate_Sheet!$D$20</f>
        <v>5517.97680000067</v>
      </c>
      <c r="M20" s="27" t="n">
        <f aca="false">Setup!$B$25</f>
        <v>2</v>
      </c>
      <c r="N20" s="13" t="str">
        <f aca="false">IF(ABS(K20)&gt;M20,"INVESTIGATE","OK")</f>
        <v>OK</v>
      </c>
    </row>
    <row r="21" customFormat="false" ht="15" hidden="false" customHeight="false" outlineLevel="0" collapsed="false">
      <c r="A21" s="12" t="n">
        <v>46315</v>
      </c>
      <c r="B21" s="13" t="str">
        <f aca="false">TEXT(A21,"YYYY-MM")</f>
        <v>2026-10</v>
      </c>
      <c r="C21" s="20" t="n">
        <f aca="false">I20</f>
        <v>1584.099826</v>
      </c>
      <c r="D21" s="19" t="n">
        <v>13.712</v>
      </c>
      <c r="E21" s="20" t="n">
        <f aca="false">SUMIFS(Karigar_Ledger!$H$5:$H$56,Karigar_Ledger!$A$5:$A$56,A21)</f>
        <v>502.188756</v>
      </c>
      <c r="F21" s="20" t="n">
        <f aca="false">SUMIFS(Karigar_Ledger!$J$5:$J$56,Karigar_Ledger!$A$5:$A$56,A21)+SUMIFS(Karigar_Ledger!$K$5:$K$56,Karigar_Ledger!$A$5:$A$56,A21)</f>
        <v>482.491624</v>
      </c>
      <c r="G21" s="20" t="n">
        <f aca="false">SUMIFS(Sales_Register!$G$5:$G$72,Sales_Register!$A$5:$A$72,A21)</f>
        <v>65.107102</v>
      </c>
      <c r="H21" s="20" t="n">
        <f aca="false">SUMIFS(Sales_Register!$N$5:$N$72,Sales_Register!$A$5:$A$72,A21)</f>
        <v>18.663</v>
      </c>
      <c r="I21" s="20" t="n">
        <f aca="false">C21+D21-E21+F21-G21+H21</f>
        <v>1531.670592</v>
      </c>
      <c r="J21" s="20" t="n">
        <f aca="false">I21+0.956</f>
        <v>1532.626592</v>
      </c>
      <c r="K21" s="20" t="n">
        <f aca="false">J21-I21</f>
        <v>0.955999999999904</v>
      </c>
      <c r="L21" s="21" t="n">
        <f aca="false">K21*Rate_Sheet!$D$21</f>
        <v>9264.50039999907</v>
      </c>
      <c r="M21" s="27" t="n">
        <f aca="false">Setup!$B$25</f>
        <v>2</v>
      </c>
      <c r="N21" s="13" t="str">
        <f aca="false">IF(ABS(K21)&gt;M21,"INVESTIGATE","OK")</f>
        <v>OK</v>
      </c>
    </row>
    <row r="22" customFormat="false" ht="15" hidden="false" customHeight="false" outlineLevel="0" collapsed="false">
      <c r="A22" s="12" t="n">
        <v>46316</v>
      </c>
      <c r="B22" s="13" t="str">
        <f aca="false">TEXT(A22,"YYYY-MM")</f>
        <v>2026-10</v>
      </c>
      <c r="C22" s="20" t="n">
        <f aca="false">I21</f>
        <v>1531.670592</v>
      </c>
      <c r="D22" s="19" t="n">
        <v>0</v>
      </c>
      <c r="E22" s="20" t="n">
        <f aca="false">SUMIFS(Karigar_Ledger!$H$5:$H$56,Karigar_Ledger!$A$5:$A$56,A22)</f>
        <v>400.039184</v>
      </c>
      <c r="F22" s="20" t="n">
        <f aca="false">SUMIFS(Karigar_Ledger!$J$5:$J$56,Karigar_Ledger!$A$5:$A$56,A22)+SUMIFS(Karigar_Ledger!$K$5:$K$56,Karigar_Ledger!$A$5:$A$56,A22)</f>
        <v>390.7439</v>
      </c>
      <c r="G22" s="20" t="n">
        <f aca="false">SUMIFS(Sales_Register!$G$5:$G$72,Sales_Register!$A$5:$A$72,A22)</f>
        <v>100.177424</v>
      </c>
      <c r="H22" s="20" t="n">
        <f aca="false">SUMIFS(Sales_Register!$N$5:$N$72,Sales_Register!$A$5:$A$72,A22)</f>
        <v>4.75</v>
      </c>
      <c r="I22" s="20" t="n">
        <f aca="false">C22+D22-E22+F22-G22+H22</f>
        <v>1426.947884</v>
      </c>
      <c r="J22" s="20" t="n">
        <f aca="false">I22+-2.86</f>
        <v>1424.087884</v>
      </c>
      <c r="K22" s="20" t="n">
        <f aca="false">J22-I22</f>
        <v>-2.8599999999999</v>
      </c>
      <c r="L22" s="21" t="n">
        <f aca="false">K22*Rate_Sheet!$D$22</f>
        <v>-27917.317999999</v>
      </c>
      <c r="M22" s="27" t="n">
        <f aca="false">Setup!$B$25</f>
        <v>2</v>
      </c>
      <c r="N22" s="13" t="str">
        <f aca="false">IF(ABS(K22)&gt;M22,"INVESTIGATE","OK")</f>
        <v>INVESTIGATE</v>
      </c>
    </row>
    <row r="23" customFormat="false" ht="15" hidden="false" customHeight="false" outlineLevel="0" collapsed="false">
      <c r="A23" s="12" t="n">
        <v>46317</v>
      </c>
      <c r="B23" s="13" t="str">
        <f aca="false">TEXT(A23,"YYYY-MM")</f>
        <v>2026-10</v>
      </c>
      <c r="C23" s="20" t="n">
        <f aca="false">I22</f>
        <v>1426.947884</v>
      </c>
      <c r="D23" s="19" t="n">
        <v>0</v>
      </c>
      <c r="E23" s="20" t="n">
        <f aca="false">SUMIFS(Karigar_Ledger!$H$5:$H$56,Karigar_Ledger!$A$5:$A$56,A23)</f>
        <v>326.922232</v>
      </c>
      <c r="F23" s="20" t="n">
        <f aca="false">SUMIFS(Karigar_Ledger!$J$5:$J$56,Karigar_Ledger!$A$5:$A$56,A23)+SUMIFS(Karigar_Ledger!$K$5:$K$56,Karigar_Ledger!$A$5:$A$56,A23)</f>
        <v>316.756812</v>
      </c>
      <c r="G23" s="20" t="n">
        <f aca="false">SUMIFS(Sales_Register!$G$5:$G$72,Sales_Register!$A$5:$A$72,A23)</f>
        <v>41.42856</v>
      </c>
      <c r="H23" s="20" t="n">
        <f aca="false">SUMIFS(Sales_Register!$N$5:$N$72,Sales_Register!$A$5:$A$72,A23)</f>
        <v>0</v>
      </c>
      <c r="I23" s="20" t="n">
        <f aca="false">C23+D23-E23+F23-G23+H23</f>
        <v>1375.353904</v>
      </c>
      <c r="J23" s="20" t="n">
        <f aca="false">I23+-0.156</f>
        <v>1375.197904</v>
      </c>
      <c r="K23" s="20" t="n">
        <f aca="false">J23-I23</f>
        <v>-0.155999999999949</v>
      </c>
      <c r="L23" s="21" t="n">
        <f aca="false">K23*Rate_Sheet!$D$23</f>
        <v>-1517.0687999995</v>
      </c>
      <c r="M23" s="27" t="n">
        <f aca="false">Setup!$B$25</f>
        <v>2</v>
      </c>
      <c r="N23" s="13" t="str">
        <f aca="false">IF(ABS(K23)&gt;M23,"INVESTIGATE","OK")</f>
        <v>OK</v>
      </c>
    </row>
    <row r="24" customFormat="false" ht="15" hidden="false" customHeight="false" outlineLevel="0" collapsed="false">
      <c r="A24" s="12" t="n">
        <v>46318</v>
      </c>
      <c r="B24" s="13" t="str">
        <f aca="false">TEXT(A24,"YYYY-MM")</f>
        <v>2026-10</v>
      </c>
      <c r="C24" s="20" t="n">
        <f aca="false">I23</f>
        <v>1375.353904</v>
      </c>
      <c r="D24" s="19" t="n">
        <v>0</v>
      </c>
      <c r="E24" s="20" t="n">
        <f aca="false">SUMIFS(Karigar_Ledger!$H$5:$H$56,Karigar_Ledger!$A$5:$A$56,A24)</f>
        <v>133.692948</v>
      </c>
      <c r="F24" s="20" t="n">
        <f aca="false">SUMIFS(Karigar_Ledger!$J$5:$J$56,Karigar_Ledger!$A$5:$A$56,A24)+SUMIFS(Karigar_Ledger!$K$5:$K$56,Karigar_Ledger!$A$5:$A$56,A24)</f>
        <v>131.059664</v>
      </c>
      <c r="G24" s="20" t="n">
        <f aca="false">SUMIFS(Sales_Register!$G$5:$G$72,Sales_Register!$A$5:$A$72,A24)</f>
        <v>68.216922</v>
      </c>
      <c r="H24" s="20" t="n">
        <f aca="false">SUMIFS(Sales_Register!$N$5:$N$72,Sales_Register!$A$5:$A$72,A24)</f>
        <v>10.786</v>
      </c>
      <c r="I24" s="20" t="n">
        <f aca="false">C24+D24-E24+F24-G24+H24</f>
        <v>1315.289698</v>
      </c>
      <c r="J24" s="20" t="n">
        <f aca="false">I24+0.652</f>
        <v>1315.941698</v>
      </c>
      <c r="K24" s="20" t="n">
        <f aca="false">J24-I24</f>
        <v>0.652000000000044</v>
      </c>
      <c r="L24" s="21" t="n">
        <f aca="false">K24*Rate_Sheet!$D$24</f>
        <v>6329.29000000042</v>
      </c>
      <c r="M24" s="27" t="n">
        <f aca="false">Setup!$B$25</f>
        <v>2</v>
      </c>
      <c r="N24" s="13" t="str">
        <f aca="false">IF(ABS(K24)&gt;M24,"INVESTIGATE","OK")</f>
        <v>OK</v>
      </c>
    </row>
    <row r="25" customFormat="false" ht="15" hidden="false" customHeight="false" outlineLevel="0" collapsed="false">
      <c r="A25" s="12" t="n">
        <v>46319</v>
      </c>
      <c r="B25" s="13" t="str">
        <f aca="false">TEXT(A25,"YYYY-MM")</f>
        <v>2026-10</v>
      </c>
      <c r="C25" s="20" t="n">
        <f aca="false">I24</f>
        <v>1315.289698</v>
      </c>
      <c r="D25" s="19" t="n">
        <v>188.464</v>
      </c>
      <c r="E25" s="20" t="n">
        <f aca="false">SUMIFS(Karigar_Ledger!$H$5:$H$56,Karigar_Ledger!$A$5:$A$56,A25)</f>
        <v>203.075368</v>
      </c>
      <c r="F25" s="20" t="n">
        <f aca="false">SUMIFS(Karigar_Ledger!$J$5:$J$56,Karigar_Ledger!$A$5:$A$56,A25)+SUMIFS(Karigar_Ledger!$K$5:$K$56,Karigar_Ledger!$A$5:$A$56,A25)</f>
        <v>197.801684</v>
      </c>
      <c r="G25" s="20" t="n">
        <f aca="false">SUMIFS(Sales_Register!$G$5:$G$72,Sales_Register!$A$5:$A$72,A25)</f>
        <v>78.957368</v>
      </c>
      <c r="H25" s="20" t="n">
        <f aca="false">SUMIFS(Sales_Register!$N$5:$N$72,Sales_Register!$A$5:$A$72,A25)</f>
        <v>13.473</v>
      </c>
      <c r="I25" s="20" t="n">
        <f aca="false">C25+D25-E25+F25-G25+H25</f>
        <v>1432.995646</v>
      </c>
      <c r="J25" s="20" t="n">
        <f aca="false">I25+1.4</f>
        <v>1434.395646</v>
      </c>
      <c r="K25" s="20" t="n">
        <f aca="false">J25-I25</f>
        <v>1.40000000000009</v>
      </c>
      <c r="L25" s="21" t="n">
        <f aca="false">K25*Rate_Sheet!$D$25</f>
        <v>13517.0000000009</v>
      </c>
      <c r="M25" s="27" t="n">
        <f aca="false">Setup!$B$25</f>
        <v>2</v>
      </c>
      <c r="N25" s="13" t="str">
        <f aca="false">IF(ABS(K25)&gt;M25,"INVESTIGATE","OK")</f>
        <v>OK</v>
      </c>
    </row>
    <row r="26" customFormat="false" ht="15" hidden="false" customHeight="false" outlineLevel="0" collapsed="false">
      <c r="A26" s="12" t="n">
        <v>46321</v>
      </c>
      <c r="B26" s="13" t="str">
        <f aca="false">TEXT(A26,"YYYY-MM")</f>
        <v>2026-10</v>
      </c>
      <c r="C26" s="20" t="n">
        <f aca="false">I25</f>
        <v>1432.995646</v>
      </c>
      <c r="D26" s="19" t="n">
        <v>0</v>
      </c>
      <c r="E26" s="20" t="n">
        <f aca="false">SUMIFS(Karigar_Ledger!$H$5:$H$56,Karigar_Ledger!$A$5:$A$56,A26)</f>
        <v>311.532516</v>
      </c>
      <c r="F26" s="20" t="n">
        <f aca="false">SUMIFS(Karigar_Ledger!$J$5:$J$56,Karigar_Ledger!$A$5:$A$56,A26)+SUMIFS(Karigar_Ledger!$K$5:$K$56,Karigar_Ledger!$A$5:$A$56,A26)</f>
        <v>300.164544</v>
      </c>
      <c r="G26" s="20" t="n">
        <f aca="false">SUMIFS(Sales_Register!$G$5:$G$72,Sales_Register!$A$5:$A$72,A26)</f>
        <v>96.241372</v>
      </c>
      <c r="H26" s="20" t="n">
        <f aca="false">SUMIFS(Sales_Register!$N$5:$N$72,Sales_Register!$A$5:$A$72,A26)</f>
        <v>14.837</v>
      </c>
      <c r="I26" s="20" t="n">
        <f aca="false">C26+D26-E26+F26-G26+H26</f>
        <v>1340.223302</v>
      </c>
      <c r="J26" s="20" t="n">
        <f aca="false">I26+-1.091</f>
        <v>1339.132302</v>
      </c>
      <c r="K26" s="20" t="n">
        <f aca="false">J26-I26</f>
        <v>-1.09099999999989</v>
      </c>
      <c r="L26" s="21" t="n">
        <f aca="false">K26*Rate_Sheet!$D$26</f>
        <v>-10658.197199999</v>
      </c>
      <c r="M26" s="27" t="n">
        <f aca="false">Setup!$B$25</f>
        <v>2</v>
      </c>
      <c r="N26" s="13" t="str">
        <f aca="false">IF(ABS(K26)&gt;M26,"INVESTIGATE","OK")</f>
        <v>OK</v>
      </c>
    </row>
    <row r="28" customFormat="false" ht="15" hidden="false" customHeight="false" outlineLevel="0" collapsed="false">
      <c r="A28" s="2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8"/>
    <col collapsed="false" customWidth="true" hidden="false" outlineLevel="0" max="4" min="4" style="0" width="46"/>
  </cols>
  <sheetData>
    <row r="1" customFormat="false" ht="17.35" hidden="false" customHeight="false" outlineLevel="0" collapsed="false">
      <c r="A1" s="1" t="s">
        <v>211</v>
      </c>
    </row>
    <row r="2" customFormat="false" ht="15" hidden="false" customHeight="false" outlineLevel="0" collapsed="false">
      <c r="A2" s="2" t="s">
        <v>212</v>
      </c>
    </row>
    <row r="4" customFormat="false" ht="15" hidden="false" customHeight="false" outlineLevel="0" collapsed="false">
      <c r="A4" s="3" t="s">
        <v>213</v>
      </c>
      <c r="B4" s="28" t="n">
        <v>46308</v>
      </c>
    </row>
    <row r="6" customFormat="false" ht="15" hidden="false" customHeight="false" outlineLevel="0" collapsed="false">
      <c r="A6" s="29" t="s">
        <v>214</v>
      </c>
      <c r="B6" s="30"/>
      <c r="C6" s="30"/>
      <c r="D6" s="30"/>
    </row>
    <row r="7" customFormat="false" ht="15" hidden="false" customHeight="false" outlineLevel="0" collapsed="false">
      <c r="A7" s="5" t="s">
        <v>199</v>
      </c>
      <c r="B7" s="20" t="n">
        <f aca="false">SUMIFS(Metal_Ledger!$C$5:$C$26,Metal_Ledger!$A$5:$A$26,$B$4)</f>
        <v>1653.98245</v>
      </c>
    </row>
    <row r="8" customFormat="false" ht="15" hidden="false" customHeight="false" outlineLevel="0" collapsed="false">
      <c r="A8" s="5" t="s">
        <v>205</v>
      </c>
      <c r="B8" s="20" t="n">
        <f aca="false">SUMIFS(Metal_Ledger!$I$5:$I$26,Metal_Ledger!$A$5:$A$26,$B$4)</f>
        <v>1602.918874</v>
      </c>
    </row>
    <row r="9" customFormat="false" ht="15" hidden="false" customHeight="false" outlineLevel="0" collapsed="false">
      <c r="A9" s="5" t="s">
        <v>206</v>
      </c>
      <c r="B9" s="20" t="n">
        <f aca="false">SUMIFS(Metal_Ledger!$J$5:$J$26,Metal_Ledger!$A$5:$A$26,$B$4)</f>
        <v>1598.738874</v>
      </c>
    </row>
    <row r="10" customFormat="false" ht="15" hidden="false" customHeight="false" outlineLevel="0" collapsed="false">
      <c r="A10" s="5" t="s">
        <v>207</v>
      </c>
      <c r="B10" s="20" t="n">
        <f aca="false">SUMIFS(Metal_Ledger!$K$5:$K$26,Metal_Ledger!$A$5:$A$26,$B$4)</f>
        <v>-4.18000000000006</v>
      </c>
      <c r="D10" s="2" t="s">
        <v>215</v>
      </c>
    </row>
    <row r="11" customFormat="false" ht="15" hidden="false" customHeight="false" outlineLevel="0" collapsed="false">
      <c r="A11" s="5" t="s">
        <v>216</v>
      </c>
      <c r="B11" s="21" t="n">
        <f aca="false">SUMIFS(Metal_Ledger!$L$5:$L$26,Metal_Ledger!$A$5:$A$26,$B$4)</f>
        <v>-40244.6220000006</v>
      </c>
    </row>
    <row r="12" customFormat="false" ht="15" hidden="false" customHeight="false" outlineLevel="0" collapsed="false">
      <c r="A12" s="5" t="s">
        <v>217</v>
      </c>
      <c r="B12" s="20" t="n">
        <f aca="false">Setup!$B$25</f>
        <v>2</v>
      </c>
    </row>
    <row r="13" customFormat="false" ht="15" hidden="false" customHeight="false" outlineLevel="0" collapsed="false">
      <c r="A13" s="5" t="s">
        <v>218</v>
      </c>
      <c r="B13" s="31" t="str">
        <f aca="false">IF(ABS(B10)&gt;B12,"INVESTIGATE","WITHIN TOLERANCE")</f>
        <v>INVESTIGATE</v>
      </c>
    </row>
    <row r="15" customFormat="false" ht="15" hidden="false" customHeight="false" outlineLevel="0" collapsed="false">
      <c r="A15" s="29" t="s">
        <v>219</v>
      </c>
      <c r="B15" s="30"/>
      <c r="C15" s="30"/>
      <c r="D15" s="30"/>
    </row>
    <row r="16" customFormat="false" ht="15" hidden="false" customHeight="false" outlineLevel="0" collapsed="false">
      <c r="A16" s="5" t="s">
        <v>220</v>
      </c>
      <c r="B16" s="20" t="n">
        <f aca="false">SUMIFS(Karigar_Ledger!$H$5:$H$56,Karigar_Ledger!$A$5:$A$56,$B$4)</f>
        <v>255.638196</v>
      </c>
    </row>
    <row r="17" customFormat="false" ht="15" hidden="false" customHeight="false" outlineLevel="0" collapsed="false">
      <c r="A17" s="5" t="s">
        <v>221</v>
      </c>
      <c r="B17" s="20" t="n">
        <f aca="false">SUMIFS(Karigar_Ledger!$J$5:$J$56,Karigar_Ledger!$A$5:$A$56,$B$4)+SUMIFS(Karigar_Ledger!$K$5:$K$56,Karigar_Ledger!$A$5:$A$56,$B$4)</f>
        <v>252.25856</v>
      </c>
    </row>
    <row r="18" customFormat="false" ht="15" hidden="false" customHeight="false" outlineLevel="0" collapsed="false">
      <c r="A18" s="5" t="s">
        <v>222</v>
      </c>
      <c r="B18" s="20" t="n">
        <f aca="false">SUMIFS(Karigar_Ledger!$L$5:$L$56,Karigar_Ledger!$A$5:$A$56,$B$4)</f>
        <v>3.37963599999997</v>
      </c>
    </row>
    <row r="19" customFormat="false" ht="15" hidden="false" customHeight="false" outlineLevel="0" collapsed="false">
      <c r="A19" s="5" t="s">
        <v>223</v>
      </c>
      <c r="B19" s="20" t="n">
        <f aca="false">SUMIFS(Karigar_Ledger!$H$5:$H$56,Karigar_Ledger!$A$5:$A$56,"&lt;="&amp;$B$4)-SUMIFS(Karigar_Ledger!$J$5:$J$56,Karigar_Ledger!$A$5:$A$56,"&lt;="&amp;$B$4)-SUMIFS(Karigar_Ledger!$K$5:$K$56,Karigar_Ledger!$A$5:$A$56,"&lt;="&amp;$B$4)</f>
        <v>105.261116</v>
      </c>
      <c r="D19" s="2" t="s">
        <v>224</v>
      </c>
    </row>
    <row r="20" customFormat="false" ht="15" hidden="false" customHeight="false" outlineLevel="0" collapsed="false">
      <c r="A20" s="5" t="s">
        <v>225</v>
      </c>
      <c r="B20" s="32" t="n">
        <f aca="false">COUNTIFS(Karigar_Ledger!$A$5:$A$56,$B$4,Karigar_Ledger!$P$5:$P$56,"OVER NORM")</f>
        <v>0</v>
      </c>
    </row>
    <row r="22" customFormat="false" ht="15" hidden="false" customHeight="false" outlineLevel="0" collapsed="false">
      <c r="A22" s="29" t="s">
        <v>226</v>
      </c>
      <c r="B22" s="30"/>
      <c r="C22" s="30"/>
      <c r="D22" s="30"/>
    </row>
    <row r="23" customFormat="false" ht="15" hidden="false" customHeight="false" outlineLevel="0" collapsed="false">
      <c r="A23" s="5" t="s">
        <v>57</v>
      </c>
      <c r="B23" s="21" t="n">
        <f aca="false">SUMIFS(Rate_Sheet!$C$5:$C$26,Rate_Sheet!$A$5:$A$26,$B$4)</f>
        <v>96279</v>
      </c>
    </row>
    <row r="24" customFormat="false" ht="15" hidden="false" customHeight="false" outlineLevel="0" collapsed="false">
      <c r="A24" s="5" t="s">
        <v>58</v>
      </c>
      <c r="B24" s="15" t="n">
        <f aca="false">SUMIFS(Rate_Sheet!$D$5:$D$26,Rate_Sheet!$A$5:$A$26,$B$4)</f>
        <v>9627.9</v>
      </c>
    </row>
    <row r="25" customFormat="false" ht="15" hidden="false" customHeight="false" outlineLevel="0" collapsed="false">
      <c r="A25" s="5" t="s">
        <v>227</v>
      </c>
      <c r="B25" s="15" t="n">
        <f aca="false">SUMIFS(Rate_Sheet!$F$5:$F$26,Rate_Sheet!$A$5:$A$26,$B$4)</f>
        <v>9674.43231441048</v>
      </c>
    </row>
    <row r="26" customFormat="false" ht="15" hidden="false" customHeight="false" outlineLevel="0" collapsed="false">
      <c r="A26" s="5" t="s">
        <v>61</v>
      </c>
      <c r="B26" s="15" t="n">
        <f aca="false">SUMIFS(Rate_Sheet!$G$5:$G$26,Rate_Sheet!$A$5:$A$26,$B$4)</f>
        <v>46.5323144104805</v>
      </c>
      <c r="D26" s="2" t="s">
        <v>228</v>
      </c>
    </row>
    <row r="27" customFormat="false" ht="15" hidden="false" customHeight="false" outlineLevel="0" collapsed="false">
      <c r="A27" s="5" t="s">
        <v>229</v>
      </c>
      <c r="B27" s="20" t="n">
        <f aca="false">SUMIFS(Sales_Register!$G$5:$G$72,Sales_Register!$A$5:$A$72,$B$4)</f>
        <v>98.51694</v>
      </c>
    </row>
    <row r="28" customFormat="false" ht="15" hidden="false" customHeight="false" outlineLevel="0" collapsed="false">
      <c r="A28" s="5" t="s">
        <v>230</v>
      </c>
      <c r="B28" s="21" t="n">
        <f aca="false">B27*B26</f>
        <v>4584.22122683844</v>
      </c>
      <c r="D28" s="2" t="s">
        <v>231</v>
      </c>
    </row>
    <row r="29" customFormat="false" ht="15" hidden="false" customHeight="false" outlineLevel="0" collapsed="false">
      <c r="A29" s="5" t="s">
        <v>218</v>
      </c>
      <c r="B29" s="31" t="str">
        <f aca="false">IF(ABS(B26)&gt;Setup!$B$26,"REPRICE BOARD NOW","BOARD RATE OK")</f>
        <v>BOARD RATE OK</v>
      </c>
    </row>
    <row r="31" customFormat="false" ht="15" hidden="false" customHeight="false" outlineLevel="0" collapsed="false">
      <c r="A31" s="29" t="s">
        <v>232</v>
      </c>
      <c r="B31" s="30"/>
      <c r="C31" s="30"/>
      <c r="D31" s="30"/>
    </row>
    <row r="32" customFormat="false" ht="15" hidden="false" customHeight="false" outlineLevel="0" collapsed="false">
      <c r="A32" s="5" t="s">
        <v>233</v>
      </c>
      <c r="B32" s="21" t="n">
        <f aca="false">SUMIFS(Sales_Register!$J$5:$J$72,Sales_Register!$A$5:$A$72,$B$4)</f>
        <v>60408.94995012</v>
      </c>
    </row>
    <row r="33" customFormat="false" ht="15" hidden="false" customHeight="false" outlineLevel="0" collapsed="false">
      <c r="A33" s="5" t="s">
        <v>234</v>
      </c>
      <c r="B33" s="21" t="n">
        <f aca="false">SUMIFS(Sales_Register!$L$5:$L$72,Sales_Register!$A$5:$A$72,$B$4)</f>
        <v>53939.05995012</v>
      </c>
    </row>
    <row r="34" customFormat="false" ht="15" hidden="false" customHeight="false" outlineLevel="0" collapsed="false">
      <c r="A34" s="5" t="s">
        <v>235</v>
      </c>
      <c r="B34" s="21" t="n">
        <f aca="false">SUMIFS(Sales_Register!$M$5:$M$72,Sales_Register!$A$5:$A$72,$B$4)</f>
        <v>6469.89</v>
      </c>
      <c r="D34" s="2" t="s">
        <v>236</v>
      </c>
    </row>
    <row r="35" customFormat="false" ht="15" hidden="false" customHeight="false" outlineLevel="0" collapsed="false">
      <c r="A35" s="5" t="s">
        <v>237</v>
      </c>
      <c r="B35" s="23" t="n">
        <f aca="false">IFERROR(B33/B32,0)</f>
        <v>0.892898485980269</v>
      </c>
    </row>
    <row r="36" customFormat="false" ht="15" hidden="false" customHeight="false" outlineLevel="0" collapsed="false">
      <c r="A36" s="5" t="s">
        <v>238</v>
      </c>
      <c r="B36" s="23" t="n">
        <f aca="false">Setup!$B$27</f>
        <v>0.85</v>
      </c>
    </row>
    <row r="37" customFormat="false" ht="15" hidden="false" customHeight="false" outlineLevel="0" collapsed="false">
      <c r="A37" s="5" t="s">
        <v>218</v>
      </c>
      <c r="B37" s="31" t="str">
        <f aca="false">IF(B35&lt;B36,"DISCOUNTING TOO DEEP","OK")</f>
        <v>OK</v>
      </c>
    </row>
    <row r="39" customFormat="false" ht="15" hidden="false" customHeight="false" outlineLevel="0" collapsed="false">
      <c r="A39" s="29" t="s">
        <v>239</v>
      </c>
      <c r="B39" s="30"/>
      <c r="C39" s="30"/>
      <c r="D39" s="30"/>
    </row>
    <row r="40" customFormat="false" ht="15" hidden="false" customHeight="false" outlineLevel="0" collapsed="false">
      <c r="A40" s="5" t="s">
        <v>240</v>
      </c>
      <c r="B40" s="32" t="n">
        <f aca="false">COUNTIFS(Sales_Register!$A$5:$A$72,$B$4)</f>
        <v>3</v>
      </c>
    </row>
    <row r="41" customFormat="false" ht="15" hidden="false" customHeight="false" outlineLevel="0" collapsed="false">
      <c r="A41" s="5" t="s">
        <v>241</v>
      </c>
      <c r="B41" s="21" t="n">
        <f aca="false">SUMIFS(Sales_Register!$P$5:$P$72,Sales_Register!$A$5:$A$72,$B$4)</f>
        <v>1007034.52780296</v>
      </c>
    </row>
    <row r="42" customFormat="false" ht="15" hidden="false" customHeight="false" outlineLevel="0" collapsed="false">
      <c r="A42" s="5" t="s">
        <v>242</v>
      </c>
      <c r="B42" s="21" t="n">
        <f aca="false">SUMIFS(Sales_Register!$I$5:$I$72,Sales_Register!$A$5:$A$72,$B$4)</f>
        <v>953095.467852839</v>
      </c>
    </row>
    <row r="43" customFormat="false" ht="15" hidden="false" customHeight="false" outlineLevel="0" collapsed="false">
      <c r="A43" s="5" t="s">
        <v>243</v>
      </c>
      <c r="B43" s="21" t="n">
        <f aca="false">SUMIFS(Sales_Register!$O$5:$O$72,Sales_Register!$A$5:$A$72,$B$4)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7" min="6" style="0" width="15"/>
    <col collapsed="false" customWidth="true" hidden="false" outlineLevel="0" max="8" min="8" style="0" width="13"/>
    <col collapsed="false" customWidth="true" hidden="false" outlineLevel="0" max="9" min="9" style="0" width="17"/>
    <col collapsed="false" customWidth="true" hidden="false" outlineLevel="0" max="10" min="10" style="0" width="16"/>
    <col collapsed="false" customWidth="true" hidden="false" outlineLevel="0" max="11" min="11" style="0" width="17"/>
    <col collapsed="false" customWidth="true" hidden="false" outlineLevel="0" max="12" min="12" style="0" width="13"/>
  </cols>
  <sheetData>
    <row r="1" customFormat="false" ht="17.35" hidden="false" customHeight="false" outlineLevel="0" collapsed="false">
      <c r="A1" s="1" t="s">
        <v>244</v>
      </c>
    </row>
    <row r="2" customFormat="false" ht="15" hidden="false" customHeight="false" outlineLevel="0" collapsed="false">
      <c r="A2" s="2" t="s">
        <v>245</v>
      </c>
    </row>
    <row r="4" customFormat="false" ht="30" hidden="false" customHeight="true" outlineLevel="0" collapsed="false">
      <c r="A4" s="8" t="s">
        <v>56</v>
      </c>
      <c r="B4" s="8" t="s">
        <v>246</v>
      </c>
      <c r="C4" s="8" t="s">
        <v>247</v>
      </c>
      <c r="D4" s="8" t="s">
        <v>248</v>
      </c>
      <c r="E4" s="8" t="s">
        <v>74</v>
      </c>
      <c r="F4" s="8" t="s">
        <v>123</v>
      </c>
      <c r="G4" s="8" t="s">
        <v>124</v>
      </c>
      <c r="H4" s="8" t="s">
        <v>237</v>
      </c>
      <c r="I4" s="8" t="s">
        <v>249</v>
      </c>
      <c r="J4" s="8" t="s">
        <v>250</v>
      </c>
      <c r="K4" s="8" t="s">
        <v>251</v>
      </c>
      <c r="L4" s="8" t="s">
        <v>252</v>
      </c>
    </row>
    <row r="5" customFormat="false" ht="15" hidden="false" customHeight="false" outlineLevel="0" collapsed="false">
      <c r="A5" s="17" t="s">
        <v>253</v>
      </c>
      <c r="B5" s="32" t="n">
        <f aca="false">COUNTIFS(Sales_Register!$B$5:$B$72,$A5)</f>
        <v>68</v>
      </c>
      <c r="C5" s="20" t="n">
        <f aca="false">SUMIFS(Sales_Register!$G$5:$G$72,Sales_Register!$B$5:$B$72,$A5)</f>
        <v>1656.82637</v>
      </c>
      <c r="D5" s="21" t="n">
        <f aca="false">SUMIFS(Sales_Register!$P$5:$P$72,Sales_Register!$B$5:$B$72,$A5)</f>
        <v>14923333.407222</v>
      </c>
      <c r="E5" s="21" t="n">
        <f aca="false">SUMIFS(Sales_Register!$J$5:$J$72,Sales_Register!$B$5:$B$72,$A5)</f>
        <v>1344942.47916717</v>
      </c>
      <c r="F5" s="21" t="n">
        <f aca="false">SUMIFS(Sales_Register!$L$5:$L$72,Sales_Register!$B$5:$B$72,$A5)</f>
        <v>1143284.31418219</v>
      </c>
      <c r="G5" s="21" t="n">
        <f aca="false">SUMIFS(Sales_Register!$M$5:$M$72,Sales_Register!$B$5:$B$72,$A5)</f>
        <v>201658.164984985</v>
      </c>
      <c r="H5" s="23" t="n">
        <f aca="false">IFERROR(F5/E5,0)</f>
        <v>0.850061866504613</v>
      </c>
      <c r="I5" s="20" t="n">
        <f aca="false">SUMIFS(Metal_Ledger!$K$5:$K$26,Metal_Ledger!$B$5:$B$26,$A5)</f>
        <v>-3.1269999999995</v>
      </c>
      <c r="J5" s="32" t="n">
        <f aca="false">COUNTIFS(Metal_Ledger!$B$5:$B$26,$A5,Metal_Ledger!$N$5:$N$26,"INVESTIGATE")</f>
        <v>4</v>
      </c>
      <c r="K5" s="20" t="n">
        <f aca="false">SUMIFS(Karigar_Ledger!$L$5:$L$56,Karigar_Ledger!$B$5:$B$56,$A5)</f>
        <v>210.559328</v>
      </c>
      <c r="L5" s="32" t="n">
        <f aca="false">COUNTIFS(Karigar_Ledger!$B$5:$B$56,$A5,Karigar_Ledger!$P$5:$P$56,"OVER NORM")</f>
        <v>10</v>
      </c>
    </row>
    <row r="7" customFormat="false" ht="15" hidden="false" customHeight="false" outlineLevel="0" collapsed="false">
      <c r="A7" s="3" t="s">
        <v>254</v>
      </c>
    </row>
    <row r="8" customFormat="false" ht="30" hidden="false" customHeight="true" outlineLevel="0" collapsed="false">
      <c r="A8" s="8" t="s">
        <v>102</v>
      </c>
      <c r="B8" s="8" t="s">
        <v>39</v>
      </c>
      <c r="C8" s="8" t="s">
        <v>104</v>
      </c>
      <c r="D8" s="8" t="s">
        <v>108</v>
      </c>
      <c r="E8" s="8" t="s">
        <v>109</v>
      </c>
      <c r="F8" s="8" t="s">
        <v>40</v>
      </c>
      <c r="G8" s="8" t="s">
        <v>110</v>
      </c>
      <c r="H8" s="8" t="s">
        <v>252</v>
      </c>
      <c r="I8" s="8"/>
      <c r="J8" s="8"/>
      <c r="K8" s="8"/>
      <c r="L8" s="8"/>
    </row>
    <row r="9" customFormat="false" ht="15" hidden="false" customHeight="false" outlineLevel="0" collapsed="false">
      <c r="A9" s="13" t="s">
        <v>114</v>
      </c>
      <c r="B9" s="13" t="str">
        <f aca="false">INDEX(Karigar_Ledger!$D$5:$D$56,MATCH(A9,Karigar_Ledger!$C$5:$C$56,0))</f>
        <v>Chain making</v>
      </c>
      <c r="C9" s="20" t="n">
        <f aca="false">SUMIFS(Karigar_Ledger!$H$5:$H$56,Karigar_Ledger!$C$5:$C$56,A9)</f>
        <v>1645.904524</v>
      </c>
      <c r="D9" s="20" t="n">
        <f aca="false">SUMIFS(Karigar_Ledger!$L$5:$L$56,Karigar_Ledger!$C$5:$C$56,A9)</f>
        <v>30.985848</v>
      </c>
      <c r="E9" s="23" t="n">
        <f aca="false">IFERROR(D9/C9,0)</f>
        <v>0.0188260300328332</v>
      </c>
      <c r="F9" s="23" t="n">
        <f aca="false">INDEX(Setup!$B$19:$B$22,MATCH(B9,Setup!$A$19:$A$22,0))</f>
        <v>0.018</v>
      </c>
      <c r="G9" s="23" t="n">
        <f aca="false">E9-F9</f>
        <v>0.000826030032833183</v>
      </c>
      <c r="H9" s="32" t="n">
        <f aca="false">COUNTIFS(Karigar_Ledger!$C$5:$C$56,A9,Karigar_Ledger!$P$5:$P$56,"OVER NORM")</f>
        <v>0</v>
      </c>
    </row>
    <row r="10" customFormat="false" ht="15" hidden="false" customHeight="false" outlineLevel="0" collapsed="false">
      <c r="A10" s="13" t="s">
        <v>111</v>
      </c>
      <c r="B10" s="13" t="str">
        <f aca="false">INDEX(Karigar_Ledger!$D$5:$D$56,MATCH(A10,Karigar_Ledger!$C$5:$C$56,0))</f>
        <v>Chain making</v>
      </c>
      <c r="C10" s="20" t="n">
        <f aca="false">SUMIFS(Karigar_Ledger!$H$5:$H$56,Karigar_Ledger!$C$5:$C$56,A10)</f>
        <v>1048.406884</v>
      </c>
      <c r="D10" s="20" t="n">
        <f aca="false">SUMIFS(Karigar_Ledger!$L$5:$L$56,Karigar_Ledger!$C$5:$C$56,A10)</f>
        <v>19.32326</v>
      </c>
      <c r="E10" s="23" t="n">
        <f aca="false">IFERROR(D10/C10,0)</f>
        <v>0.0184310693633332</v>
      </c>
      <c r="F10" s="23" t="n">
        <f aca="false">INDEX(Setup!$B$19:$B$22,MATCH(B10,Setup!$A$19:$A$22,0))</f>
        <v>0.018</v>
      </c>
      <c r="G10" s="23" t="n">
        <f aca="false">E10-F10</f>
        <v>0.000431069363333196</v>
      </c>
      <c r="H10" s="32" t="n">
        <f aca="false">COUNTIFS(Karigar_Ledger!$C$5:$C$56,A10,Karigar_Ledger!$P$5:$P$56,"OVER NORM")</f>
        <v>0</v>
      </c>
    </row>
    <row r="11" customFormat="false" ht="15" hidden="false" customHeight="false" outlineLevel="0" collapsed="false">
      <c r="A11" s="13" t="s">
        <v>115</v>
      </c>
      <c r="B11" s="13" t="str">
        <f aca="false">INDEX(Karigar_Ledger!$D$5:$D$56,MATCH(A11,Karigar_Ledger!$C$5:$C$56,0))</f>
        <v>Stone setting</v>
      </c>
      <c r="C11" s="20" t="n">
        <f aca="false">SUMIFS(Karigar_Ledger!$H$5:$H$56,Karigar_Ledger!$C$5:$C$56,A11)</f>
        <v>1571.261516</v>
      </c>
      <c r="D11" s="20" t="n">
        <f aca="false">SUMIFS(Karigar_Ledger!$L$5:$L$56,Karigar_Ledger!$C$5:$C$56,A11)</f>
        <v>89.9479</v>
      </c>
      <c r="E11" s="23" t="n">
        <f aca="false">IFERROR(D11/C11,0)</f>
        <v>0.0572456583987258</v>
      </c>
      <c r="F11" s="23" t="n">
        <f aca="false">INDEX(Setup!$B$19:$B$22,MATCH(B11,Setup!$A$19:$A$22,0))</f>
        <v>0.035</v>
      </c>
      <c r="G11" s="23" t="n">
        <f aca="false">E11-F11</f>
        <v>0.0222456583987258</v>
      </c>
      <c r="H11" s="32" t="n">
        <f aca="false">COUNTIFS(Karigar_Ledger!$C$5:$C$56,A11,Karigar_Ledger!$P$5:$P$56,"OVER NORM")</f>
        <v>10</v>
      </c>
    </row>
    <row r="12" customFormat="false" ht="15" hidden="false" customHeight="false" outlineLevel="0" collapsed="false">
      <c r="A12" s="13" t="s">
        <v>112</v>
      </c>
      <c r="B12" s="13" t="str">
        <f aca="false">INDEX(Karigar_Ledger!$D$5:$D$56,MATCH(A12,Karigar_Ledger!$C$5:$C$56,0))</f>
        <v>Casting</v>
      </c>
      <c r="C12" s="20" t="n">
        <f aca="false">SUMIFS(Karigar_Ledger!$H$5:$H$56,Karigar_Ledger!$C$5:$C$56,A12)</f>
        <v>1346.28642</v>
      </c>
      <c r="D12" s="20" t="n">
        <f aca="false">SUMIFS(Karigar_Ledger!$L$5:$L$56,Karigar_Ledger!$C$5:$C$56,A12)</f>
        <v>35.1527920000001</v>
      </c>
      <c r="E12" s="23" t="n">
        <f aca="false">IFERROR(D12/C12,0)</f>
        <v>0.0261109311345501</v>
      </c>
      <c r="F12" s="23" t="n">
        <f aca="false">INDEX(Setup!$B$19:$B$22,MATCH(B12,Setup!$A$19:$A$22,0))</f>
        <v>0.025</v>
      </c>
      <c r="G12" s="23" t="n">
        <f aca="false">E12-F12</f>
        <v>0.00111093113455014</v>
      </c>
      <c r="H12" s="32" t="n">
        <f aca="false">COUNTIFS(Karigar_Ledger!$C$5:$C$56,A12,Karigar_Ledger!$P$5:$P$56,"OVER NORM")</f>
        <v>0</v>
      </c>
    </row>
    <row r="13" customFormat="false" ht="15" hidden="false" customHeight="false" outlineLevel="0" collapsed="false">
      <c r="A13" s="13" t="s">
        <v>113</v>
      </c>
      <c r="B13" s="13" t="str">
        <f aca="false">INDEX(Karigar_Ledger!$D$5:$D$56,MATCH(A13,Karigar_Ledger!$C$5:$C$56,0))</f>
        <v>Hand finishing</v>
      </c>
      <c r="C13" s="20" t="n">
        <f aca="false">SUMIFS(Karigar_Ledger!$H$5:$H$56,Karigar_Ledger!$C$5:$C$56,A13)</f>
        <v>1359.923828</v>
      </c>
      <c r="D13" s="20" t="n">
        <f aca="false">SUMIFS(Karigar_Ledger!$L$5:$L$56,Karigar_Ledger!$C$5:$C$56,A13)</f>
        <v>35.149528</v>
      </c>
      <c r="E13" s="23" t="n">
        <f aca="false">IFERROR(D13/C13,0)</f>
        <v>0.0258466888191035</v>
      </c>
      <c r="F13" s="23" t="n">
        <f aca="false">INDEX(Setup!$B$19:$B$22,MATCH(B13,Setup!$A$19:$A$22,0))</f>
        <v>0.028</v>
      </c>
      <c r="G13" s="23" t="n">
        <f aca="false">E13-F13</f>
        <v>-0.00215331118089651</v>
      </c>
      <c r="H13" s="32" t="n">
        <f aca="false">COUNTIFS(Karigar_Ledger!$C$5:$C$56,A13,Karigar_Ledger!$P$5:$P$56,"OVER NORM")</f>
        <v>0</v>
      </c>
    </row>
    <row r="15" customFormat="false" ht="15" hidden="false" customHeight="false" outlineLevel="0" collapsed="false">
      <c r="A15" s="2" t="s">
        <v>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2026-10-10T16:58:03Z</dcterms:created>
  <dc:creator>openpyxl</dc:creator>
  <dc:description/>
  <dc:language>en-US</dc:language>
  <cp:lastModifiedBy/>
  <dcterms:modified xsi:type="dcterms:W3CDTF">2026-10-10T16:58:03Z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